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айнор дз" sheetId="1" r:id="rId4"/>
    <sheet state="visible" name="Регрессия CAPM" sheetId="2" r:id="rId5"/>
    <sheet state="visible" name="FFM" sheetId="3" r:id="rId6"/>
    <sheet state="visible" name="Регрессия FFM" sheetId="4" r:id="rId7"/>
  </sheets>
  <definedNames>
    <definedName localSheetId="0" name="solver_opt">'майнор дз'!$O$6</definedName>
    <definedName localSheetId="0" name="solver_adj">'майнор дз'!$O$2:$O$4</definedName>
    <definedName localSheetId="0" name="solver_lhs2">'майнор дз'!$O$5</definedName>
    <definedName localSheetId="0" name="solver_lhs1">'майнор дз'!$O$2:$O$4</definedName>
  </definedNames>
  <calcPr/>
</workbook>
</file>

<file path=xl/sharedStrings.xml><?xml version="1.0" encoding="utf-8"?>
<sst xmlns="http://schemas.openxmlformats.org/spreadsheetml/2006/main" count="91" uniqueCount="63">
  <si>
    <t>Дата</t>
  </si>
  <si>
    <t>Цена last Яндекс</t>
  </si>
  <si>
    <t>Цена last Райфайзен</t>
  </si>
  <si>
    <t>Цена last ПОЛЮС</t>
  </si>
  <si>
    <t>Доходность Яндекс</t>
  </si>
  <si>
    <t>Доходность Райфайзен</t>
  </si>
  <si>
    <t>Доходность ПОЛЮС</t>
  </si>
  <si>
    <t xml:space="preserve">equal weighted </t>
  </si>
  <si>
    <t>доходность индекс</t>
  </si>
  <si>
    <t>portfolio</t>
  </si>
  <si>
    <t>e</t>
  </si>
  <si>
    <t>IMOEX</t>
  </si>
  <si>
    <t>MOEXMM</t>
  </si>
  <si>
    <t>веса</t>
  </si>
  <si>
    <t>Ri Яндекс</t>
  </si>
  <si>
    <t>Ri Райфайзен</t>
  </si>
  <si>
    <t>Ri полюс</t>
  </si>
  <si>
    <t>Rm</t>
  </si>
  <si>
    <t>B1</t>
  </si>
  <si>
    <t>B2</t>
  </si>
  <si>
    <t>B3</t>
  </si>
  <si>
    <t>return all</t>
  </si>
  <si>
    <t>return mm</t>
  </si>
  <si>
    <t>Яндекс</t>
  </si>
  <si>
    <t>Райфайзен</t>
  </si>
  <si>
    <t>B</t>
  </si>
  <si>
    <t>Полюс</t>
  </si>
  <si>
    <t>riskfree</t>
  </si>
  <si>
    <t>сумм</t>
  </si>
  <si>
    <t>return(expected)</t>
  </si>
  <si>
    <t>среднее по остаткам</t>
  </si>
  <si>
    <t>difference</t>
  </si>
  <si>
    <t>averagereturn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</si>
  <si>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</si>
  <si>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</si>
  <si>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</si>
  <si>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</si>
  <si>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</si>
  <si>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</si>
  <si>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</si>
  <si>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</si>
  <si>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df</t>
  </si>
  <si>
    <t>SS</t>
  </si>
  <si>
    <t>MS</t>
  </si>
  <si>
    <t>F</t>
  </si>
  <si>
    <t>Значимость F</t>
  </si>
  <si>
    <t>Регрессия</t>
  </si>
  <si>
    <t>Остаток</t>
  </si>
  <si>
    <t>Итого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</si>
  <si>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</si>
  <si>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</si>
  <si>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</si>
  <si>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</si>
  <si>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</si>
  <si>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</si>
  <si>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</si>
  <si>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Y-пересечение</t>
  </si>
  <si>
    <t>Переменная X 1</t>
  </si>
  <si>
    <t>mkt-rf</t>
  </si>
  <si>
    <t>smb</t>
  </si>
  <si>
    <t>hml</t>
  </si>
  <si>
    <t>Переменная X 2</t>
  </si>
  <si>
    <t>Переменная X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</si>
</sst>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b/>
      <sz val="11.0"/>
      <color rgb="FFFFFFFF"/>
      <name val="Calibri"/>
    </font>
    <font>
      <b/>
      <sz val="11.0"/>
      <color theme="1"/>
      <name val="Calibri"/>
    </font>
    <font>
      <sz val="10.0"/>
      <color theme="1"/>
      <name val="Arial"/>
    </font>
    <font>
      <sz val="11.0"/>
      <color rgb="FF000000"/>
      <name val="Calibri"/>
    </font>
    <font>
      <sz val="11.0"/>
      <color rgb="FF000000"/>
      <name val="Arial"/>
    </font>
    <font>
      <sz val="11.0"/>
      <color theme="1"/>
      <name val="Calibri"/>
    </font>
    <font>
      <color theme="1"/>
      <name val="Calibri"/>
      <scheme val="minor"/>
    </font>
    <font>
      <i/>
      <sz val="11.0"/>
      <color rgb="FF000000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C0C0C0"/>
        <bgColor rgb="FFC0C0C0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</fills>
  <borders count="12">
    <border/>
    <border>
      <left/>
      <right/>
      <top style="thin">
        <color rgb="FFA9D08E"/>
      </top>
      <bottom style="thin">
        <color rgb="FFA9D08E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A9D08E"/>
      </left>
      <right/>
      <top style="thin">
        <color rgb="FFA9D08E"/>
      </top>
      <bottom style="thin">
        <color rgb="FFA9D08E"/>
      </bottom>
    </border>
    <border>
      <left/>
      <right style="thin">
        <color rgb="FFA9D08E"/>
      </right>
      <top style="thin">
        <color rgb="FFA9D08E"/>
      </top>
      <bottom style="thin">
        <color rgb="FFA9D08E"/>
      </bottom>
    </border>
    <border>
      <left style="thin">
        <color rgb="FFA9D08E"/>
      </left>
      <top style="thin">
        <color rgb="FFA9D08E"/>
      </top>
      <bottom style="thin">
        <color rgb="FFA9D08E"/>
      </bottom>
    </border>
    <border>
      <top style="thin">
        <color rgb="FFA9D08E"/>
      </top>
      <bottom style="thin">
        <color rgb="FFA9D08E"/>
      </bottom>
    </border>
    <border>
      <right style="thin">
        <color rgb="FFA9D08E"/>
      </right>
      <top style="thin">
        <color rgb="FFA9D08E"/>
      </top>
      <bottom style="thin">
        <color rgb="FFA9D08E"/>
      </bottom>
    </border>
    <border>
      <left/>
      <right/>
      <top/>
      <bottom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4" xfId="0" applyAlignment="1" applyBorder="1" applyFill="1" applyFont="1" applyNumberFormat="1">
      <alignment shrinkToFit="0" wrapText="1"/>
    </xf>
    <xf borderId="2" fillId="3" fontId="2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wrapText="1"/>
    </xf>
    <xf borderId="3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1"/>
    </xf>
    <xf borderId="4" fillId="4" fontId="4" numFmtId="14" xfId="0" applyAlignment="1" applyBorder="1" applyFill="1" applyFont="1" applyNumberFormat="1">
      <alignment horizontal="right"/>
    </xf>
    <xf borderId="1" fillId="4" fontId="4" numFmtId="4" xfId="0" applyAlignment="1" applyBorder="1" applyFont="1" applyNumberFormat="1">
      <alignment horizontal="right"/>
    </xf>
    <xf borderId="5" fillId="4" fontId="4" numFmtId="0" xfId="0" applyAlignment="1" applyBorder="1" applyFont="1">
      <alignment horizontal="right"/>
    </xf>
    <xf borderId="0" fillId="0" fontId="5" numFmtId="0" xfId="0" applyAlignment="1" applyFont="1">
      <alignment horizontal="right"/>
    </xf>
    <xf borderId="5" fillId="4" fontId="4" numFmtId="0" xfId="0" applyAlignment="1" applyBorder="1" applyFont="1">
      <alignment horizontal="right"/>
    </xf>
    <xf borderId="6" fillId="0" fontId="4" numFmtId="14" xfId="0" applyAlignment="1" applyBorder="1" applyFont="1" applyNumberFormat="1">
      <alignment horizontal="right"/>
    </xf>
    <xf borderId="7" fillId="0" fontId="4" numFmtId="4" xfId="0" applyAlignment="1" applyBorder="1" applyFont="1" applyNumberFormat="1">
      <alignment horizontal="right"/>
    </xf>
    <xf borderId="8" fillId="0" fontId="4" numFmtId="0" xfId="0" applyAlignment="1" applyBorder="1" applyFont="1">
      <alignment horizontal="right"/>
    </xf>
    <xf borderId="8" fillId="0" fontId="4" numFmtId="0" xfId="0" applyAlignment="1" applyBorder="1" applyFont="1">
      <alignment horizontal="right"/>
    </xf>
    <xf borderId="3" fillId="5" fontId="3" numFmtId="0" xfId="0" applyAlignment="1" applyBorder="1" applyFill="1" applyFont="1">
      <alignment shrinkToFit="0" wrapText="1"/>
    </xf>
    <xf borderId="3" fillId="6" fontId="3" numFmtId="0" xfId="0" applyAlignment="1" applyBorder="1" applyFill="1" applyFont="1">
      <alignment shrinkToFit="0" wrapText="1"/>
    </xf>
    <xf borderId="9" fillId="4" fontId="3" numFmtId="0" xfId="0" applyAlignment="1" applyBorder="1" applyFont="1">
      <alignment shrinkToFit="0" wrapText="1"/>
    </xf>
    <xf borderId="0" fillId="0" fontId="6" numFmtId="0" xfId="0" applyFont="1"/>
    <xf borderId="0" fillId="0" fontId="4" numFmtId="4" xfId="0" applyFont="1" applyNumberFormat="1"/>
    <xf borderId="3" fillId="0" fontId="3" numFmtId="4" xfId="0" applyAlignment="1" applyBorder="1" applyFont="1" applyNumberFormat="1">
      <alignment shrinkToFit="0" wrapText="1"/>
    </xf>
    <xf borderId="0" fillId="0" fontId="6" numFmtId="14" xfId="0" applyFont="1" applyNumberFormat="1"/>
    <xf borderId="0" fillId="0" fontId="6" numFmtId="4" xfId="0" applyFont="1" applyNumberFormat="1"/>
    <xf borderId="0" fillId="0" fontId="7" numFmtId="0" xfId="0" applyFont="1"/>
    <xf borderId="10" fillId="0" fontId="8" numFmtId="0" xfId="0" applyAlignment="1" applyBorder="1" applyFont="1">
      <alignment horizontal="center"/>
    </xf>
    <xf borderId="10" fillId="0" fontId="9" numFmtId="0" xfId="0" applyBorder="1" applyFont="1"/>
    <xf borderId="0" fillId="0" fontId="4" numFmtId="0" xfId="0" applyFont="1"/>
    <xf borderId="11" fillId="0" fontId="4" numFmtId="0" xfId="0" applyBorder="1" applyFont="1"/>
    <xf borderId="5" fillId="2" fontId="1" numFmtId="0" xfId="0" applyBorder="1" applyFont="1"/>
    <xf borderId="1" fillId="4" fontId="4" numFmtId="0" xfId="0" applyAlignment="1" applyBorder="1" applyFont="1">
      <alignment horizontal="right"/>
    </xf>
    <xf borderId="7" fillId="0" fontId="4" numFmtId="0" xfId="0" applyAlignment="1" applyBorder="1" applyFont="1">
      <alignment horizontal="right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майнор дз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Цена акции Яндекс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'майнор дз'!$A$2:$A$232</c:f>
            </c:strRef>
          </c:cat>
          <c:val>
            <c:numRef>
              <c:f>'майнор дз'!$B$2:$B$232</c:f>
              <c:numCache/>
            </c:numRef>
          </c:val>
          <c:smooth val="0"/>
        </c:ser>
        <c:axId val="177013377"/>
        <c:axId val="1944270558"/>
      </c:lineChart>
      <c:catAx>
        <c:axId val="1770133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44270558"/>
      </c:catAx>
      <c:valAx>
        <c:axId val="19442705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7013377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Цена акции Райфайзен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'майнор дз'!$A$2:$A$232</c:f>
            </c:strRef>
          </c:cat>
          <c:val>
            <c:numRef>
              <c:f>'майнор дз'!$C$2:$C$232</c:f>
              <c:numCache/>
            </c:numRef>
          </c:val>
          <c:smooth val="0"/>
        </c:ser>
        <c:axId val="1686189481"/>
        <c:axId val="134991327"/>
      </c:lineChart>
      <c:catAx>
        <c:axId val="16861894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4991327"/>
      </c:catAx>
      <c:valAx>
        <c:axId val="134991327"/>
        <c:scaling>
          <c:orientation val="minMax"/>
          <c:min val="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8618948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Цена акции Полюс</a:t>
            </a:r>
          </a:p>
        </c:rich>
      </c:tx>
      <c:overlay val="0"/>
    </c:title>
    <c:plotArea>
      <c:layout>
        <c:manualLayout>
          <c:xMode val="edge"/>
          <c:yMode val="edge"/>
          <c:x val="0.12138541666666663"/>
          <c:y val="0.15341419586702604"/>
          <c:w val="0.84778125"/>
          <c:h val="0.7481418231138327"/>
        </c:manualLayout>
      </c:layout>
      <c:lineChart>
        <c:varyColors val="0"/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'майнор дз'!$A$2:$A$232</c:f>
            </c:strRef>
          </c:cat>
          <c:val>
            <c:numRef>
              <c:f>'майнор дз'!$D$2:$D$232</c:f>
              <c:numCache/>
            </c:numRef>
          </c:val>
          <c:smooth val="0"/>
        </c:ser>
        <c:axId val="770785164"/>
        <c:axId val="1784041346"/>
      </c:lineChart>
      <c:catAx>
        <c:axId val="7707851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84041346"/>
      </c:catAx>
      <c:valAx>
        <c:axId val="1784041346"/>
        <c:scaling>
          <c:orientation val="minMax"/>
          <c:min val="7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7078516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2.jpg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838200</xdr:colOff>
      <xdr:row>234</xdr:row>
      <xdr:rowOff>152400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190500</xdr:colOff>
      <xdr:row>234</xdr:row>
      <xdr:rowOff>152400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838200</xdr:colOff>
      <xdr:row>254</xdr:row>
      <xdr:rowOff>0</xdr:rowOff>
    </xdr:from>
    <xdr:ext cx="5715000" cy="35337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28</xdr:col>
      <xdr:colOff>609600</xdr:colOff>
      <xdr:row>26</xdr:row>
      <xdr:rowOff>66675</xdr:rowOff>
    </xdr:from>
    <xdr:ext cx="247650" cy="247650"/>
    <xdr:sp>
      <xdr:nvSpPr>
        <xdr:cNvPr id="3" name="Shape 3"/>
        <xdr:cNvSpPr/>
      </xdr:nvSpPr>
      <xdr:spPr>
        <a:xfrm>
          <a:off x="5226938" y="3660938"/>
          <a:ext cx="238125" cy="238125"/>
        </a:xfrm>
        <a:prstGeom prst="flowChartConnector">
          <a:avLst/>
        </a:prstGeom>
        <a:solidFill>
          <a:srgbClr val="0000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26</xdr:col>
      <xdr:colOff>371475</xdr:colOff>
      <xdr:row>7</xdr:row>
      <xdr:rowOff>-104775</xdr:rowOff>
    </xdr:from>
    <xdr:ext cx="6076950" cy="4524375"/>
    <xdr:pic>
      <xdr:nvPicPr>
        <xdr:cNvPr id="0" name="image2.jp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428625</xdr:colOff>
      <xdr:row>32</xdr:row>
      <xdr:rowOff>114300</xdr:rowOff>
    </xdr:from>
    <xdr:ext cx="6019800" cy="3714750"/>
    <xdr:pic>
      <xdr:nvPicPr>
        <xdr:cNvPr id="0" name="image1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T2:T232" displayName="Table_1" name="Table_1" id="1">
  <tableColumns count="1">
    <tableColumn name="Column1" id="1"/>
  </tableColumns>
  <tableStyleInfo name="майнор дз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8.71"/>
    <col customWidth="1" min="3" max="3" width="21.14"/>
    <col customWidth="1" min="4" max="4" width="18.14"/>
    <col customWidth="1" min="5" max="5" width="15.71"/>
    <col customWidth="1" min="6" max="6" width="17.29"/>
    <col customWidth="1" min="7" max="7" width="14.14"/>
    <col customWidth="1" min="8" max="8" width="10.29"/>
    <col customWidth="1" min="9" max="10" width="18.29"/>
    <col customWidth="1" min="11" max="11" width="21.86"/>
    <col customWidth="1" min="12" max="12" width="8.71"/>
    <col customWidth="1" min="13" max="13" width="10.57"/>
    <col customWidth="1" min="14" max="14" width="21.29"/>
    <col customWidth="1" min="15" max="15" width="11.86"/>
    <col customWidth="1" min="16" max="16" width="8.71"/>
    <col customWidth="1" min="17" max="17" width="15.14"/>
    <col customWidth="1" min="18" max="18" width="16.29"/>
    <col customWidth="1" min="19" max="19" width="15.14"/>
    <col customWidth="1" min="20" max="20" width="16.29"/>
    <col customWidth="1" min="21" max="22" width="13.43"/>
    <col customWidth="1" min="23" max="23" width="12.43"/>
    <col customWidth="1" min="24" max="24" width="8.71"/>
    <col customWidth="1" min="25" max="25" width="12.71"/>
    <col customWidth="1" min="26" max="26" width="14.0"/>
    <col customWidth="1" min="27" max="27" width="8.71"/>
    <col customWidth="1" min="28" max="28" width="15.43"/>
    <col customWidth="1" min="29" max="29" width="15.14"/>
    <col customWidth="1" min="30" max="41" width="8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/>
      <c r="O1" s="4" t="s">
        <v>13</v>
      </c>
      <c r="P1" s="4"/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/>
      <c r="Y1" s="4" t="s">
        <v>21</v>
      </c>
      <c r="Z1" s="4" t="s">
        <v>22</v>
      </c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ht="14.25" customHeight="1">
      <c r="A2" s="7">
        <v>45205.0</v>
      </c>
      <c r="B2" s="8">
        <v>2482.2</v>
      </c>
      <c r="C2" s="8">
        <v>13.33</v>
      </c>
      <c r="D2" s="8">
        <v>11486.5</v>
      </c>
      <c r="E2" s="4"/>
      <c r="F2" s="4"/>
      <c r="G2" s="4"/>
      <c r="H2" s="4">
        <f t="shared" ref="H2:H232" si="2">0.33*B2+0.33*C2+0.33*D2</f>
        <v>4614.0699</v>
      </c>
      <c r="I2" s="4"/>
      <c r="J2" s="4"/>
      <c r="K2" s="4"/>
      <c r="L2" s="9">
        <v>3144.89</v>
      </c>
      <c r="M2" s="4">
        <f t="shared" ref="M2:M232" si="3">$O$2*B2+C2*$O$3+$O$4*D2</f>
        <v>9423.979659</v>
      </c>
      <c r="N2" s="4" t="s">
        <v>23</v>
      </c>
      <c r="O2" s="10">
        <v>0.22230424</v>
      </c>
      <c r="P2" s="4"/>
      <c r="Q2" s="4"/>
      <c r="R2" s="4"/>
      <c r="S2" s="4"/>
      <c r="T2" s="11">
        <v>3144.89</v>
      </c>
      <c r="U2" s="4"/>
      <c r="V2" s="4"/>
      <c r="W2" s="4"/>
      <c r="X2" s="4"/>
      <c r="Y2" s="4"/>
      <c r="Z2" s="4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ht="18.75" customHeight="1">
      <c r="A3" s="12">
        <v>45208.0</v>
      </c>
      <c r="B3" s="13">
        <v>2477.4</v>
      </c>
      <c r="C3" s="13">
        <v>13.44</v>
      </c>
      <c r="D3" s="13">
        <v>11627.0</v>
      </c>
      <c r="E3" s="4">
        <f t="shared" ref="E3:G3" si="1">LN(B3/B2)</f>
        <v>-0.001935640575</v>
      </c>
      <c r="F3" s="4">
        <f t="shared" si="1"/>
        <v>0.008218200904</v>
      </c>
      <c r="G3" s="4">
        <f t="shared" si="1"/>
        <v>0.01215754694</v>
      </c>
      <c r="H3" s="4">
        <f t="shared" si="2"/>
        <v>4658.8872</v>
      </c>
      <c r="I3" s="4">
        <f t="shared" ref="I3:I232" si="6">LN(H3/H2)</f>
        <v>0.009666312156</v>
      </c>
      <c r="J3" s="4">
        <f t="shared" ref="J3:J232" si="7">E3*$O$2+F3*$O$3+G3*$O$4</f>
        <v>0.009003686721</v>
      </c>
      <c r="K3" s="4">
        <f t="shared" ref="K3:K232" si="8">(J3-I3)^2</f>
        <v>0.0000004390724667</v>
      </c>
      <c r="L3" s="14">
        <v>3174.02</v>
      </c>
      <c r="M3" s="4">
        <f t="shared" si="3"/>
        <v>9531.43456</v>
      </c>
      <c r="N3" s="4" t="s">
        <v>24</v>
      </c>
      <c r="O3" s="10">
        <v>0.00530161</v>
      </c>
      <c r="P3" s="4"/>
      <c r="Q3" s="4"/>
      <c r="R3" s="4"/>
      <c r="S3" s="4"/>
      <c r="T3" s="15">
        <v>3174.02</v>
      </c>
      <c r="U3" s="16"/>
      <c r="V3" s="16"/>
      <c r="W3" s="16"/>
      <c r="X3" s="4"/>
      <c r="Y3" s="4">
        <f t="shared" ref="Y3:Z3" si="4">(L3-L2)/L2</f>
        <v>0.009262645116</v>
      </c>
      <c r="Z3" s="4">
        <f t="shared" si="4"/>
        <v>0.01140228489</v>
      </c>
      <c r="AA3" s="6"/>
      <c r="AB3" s="6" t="s">
        <v>25</v>
      </c>
      <c r="AC3" s="6">
        <f t="array" ref="AC3">INDEX(LINEST(Z3:Z232,Y3:Y232),1)</f>
        <v>0.7161410266</v>
      </c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</row>
    <row r="4" ht="14.25" customHeight="1">
      <c r="A4" s="7">
        <v>45209.0</v>
      </c>
      <c r="B4" s="8">
        <v>2485.2</v>
      </c>
      <c r="C4" s="8">
        <v>13.58</v>
      </c>
      <c r="D4" s="8">
        <v>11569.5</v>
      </c>
      <c r="E4" s="4">
        <f t="shared" ref="E4:G4" si="5">LN(B4/B3)</f>
        <v>0.003143516069</v>
      </c>
      <c r="F4" s="4">
        <f t="shared" si="5"/>
        <v>0.01036278704</v>
      </c>
      <c r="G4" s="4">
        <f t="shared" si="5"/>
        <v>-0.004957654626</v>
      </c>
      <c r="H4" s="4">
        <f t="shared" si="2"/>
        <v>4642.5324</v>
      </c>
      <c r="I4" s="4">
        <f t="shared" si="6"/>
        <v>-0.003516628119</v>
      </c>
      <c r="J4" s="4">
        <f t="shared" si="7"/>
        <v>-0.003075507025</v>
      </c>
      <c r="K4" s="4">
        <f t="shared" si="8"/>
        <v>0.0000001945878192</v>
      </c>
      <c r="L4" s="9">
        <v>3177.03</v>
      </c>
      <c r="M4" s="4">
        <f t="shared" si="3"/>
        <v>9488.756612</v>
      </c>
      <c r="N4" s="4" t="s">
        <v>26</v>
      </c>
      <c r="O4" s="10">
        <v>0.77239415</v>
      </c>
      <c r="P4" s="4"/>
      <c r="Q4" s="4">
        <f t="shared" ref="Q4:S4" si="9">IF(E3=0,0,(E4-E3)/E3)</f>
        <v>-2.624018482</v>
      </c>
      <c r="R4" s="4">
        <f t="shared" si="9"/>
        <v>0.260955671</v>
      </c>
      <c r="S4" s="4">
        <f t="shared" si="9"/>
        <v>-1.407784124</v>
      </c>
      <c r="T4" s="11">
        <v>3177.03</v>
      </c>
      <c r="U4" s="17">
        <f t="shared" ref="U4:W4" si="10">COVAR(Q4:Q232,$T$4:$T$232)/VAR($T$4:$T$232)</f>
        <v>-0.00609597219</v>
      </c>
      <c r="V4" s="17">
        <f t="shared" si="10"/>
        <v>-0.001409801854</v>
      </c>
      <c r="W4" s="17">
        <f t="shared" si="10"/>
        <v>0.00665994577</v>
      </c>
      <c r="X4" s="4"/>
      <c r="Y4" s="4">
        <f t="shared" ref="Y4:Z4" si="11">(L4-L3)/L3</f>
        <v>0.0009483242072</v>
      </c>
      <c r="Z4" s="4">
        <f t="shared" si="11"/>
        <v>-0.004477599679</v>
      </c>
      <c r="AA4" s="6"/>
      <c r="AB4" s="6" t="s">
        <v>27</v>
      </c>
      <c r="AC4" s="6">
        <v>0.19</v>
      </c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ht="14.25" customHeight="1">
      <c r="A5" s="12">
        <v>45210.0</v>
      </c>
      <c r="B5" s="13">
        <v>2444.0</v>
      </c>
      <c r="C5" s="13">
        <v>13.7</v>
      </c>
      <c r="D5" s="13">
        <v>11457.0</v>
      </c>
      <c r="E5" s="4">
        <f t="shared" ref="E5:G5" si="12">LN(B5/B4)</f>
        <v>-0.0167170979</v>
      </c>
      <c r="F5" s="4">
        <f t="shared" si="12"/>
        <v>0.008797710704</v>
      </c>
      <c r="G5" s="4">
        <f t="shared" si="12"/>
        <v>-0.009771428149</v>
      </c>
      <c r="H5" s="4">
        <f t="shared" si="2"/>
        <v>4591.851</v>
      </c>
      <c r="I5" s="4">
        <f t="shared" si="6"/>
        <v>-0.01097678246</v>
      </c>
      <c r="J5" s="4">
        <f t="shared" si="7"/>
        <v>-0.01121703365</v>
      </c>
      <c r="K5" s="4">
        <f t="shared" si="8"/>
        <v>0.0000000577206334</v>
      </c>
      <c r="L5" s="14">
        <v>3194.12</v>
      </c>
      <c r="M5" s="4">
        <f t="shared" si="3"/>
        <v>9392.703971</v>
      </c>
      <c r="N5" s="4" t="s">
        <v>28</v>
      </c>
      <c r="O5" s="4">
        <f>SUM(O2:O4)</f>
        <v>1</v>
      </c>
      <c r="P5" s="4"/>
      <c r="Q5" s="4">
        <f t="shared" ref="Q5:S5" si="13">IF(E4=0,0,(E5-E4)/E4)</f>
        <v>-6.317961648</v>
      </c>
      <c r="R5" s="4">
        <f t="shared" si="13"/>
        <v>-0.1510285145</v>
      </c>
      <c r="S5" s="4">
        <f t="shared" si="13"/>
        <v>0.9709779896</v>
      </c>
      <c r="T5" s="15">
        <v>3194.12</v>
      </c>
      <c r="U5" s="4"/>
      <c r="V5" s="4"/>
      <c r="W5" s="4"/>
      <c r="X5" s="4"/>
      <c r="Y5" s="4">
        <f t="shared" ref="Y5:Z5" si="14">(L5-L4)/L4</f>
        <v>0.005379237842</v>
      </c>
      <c r="Z5" s="4">
        <f t="shared" si="14"/>
        <v>-0.01012278471</v>
      </c>
      <c r="AA5" s="6"/>
      <c r="AB5" s="18" t="s">
        <v>29</v>
      </c>
      <c r="AC5" s="18">
        <f>AC4+AC3*(Y233-AC4)</f>
        <v>0.05358932981</v>
      </c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ht="21.0" customHeight="1">
      <c r="A6" s="7">
        <v>45211.0</v>
      </c>
      <c r="B6" s="8">
        <v>2465.0</v>
      </c>
      <c r="C6" s="8">
        <v>13.72</v>
      </c>
      <c r="D6" s="8">
        <v>11513.5</v>
      </c>
      <c r="E6" s="4">
        <f t="shared" ref="E6:G6" si="15">LN(B6/B5)</f>
        <v>0.008555766185</v>
      </c>
      <c r="F6" s="4">
        <f t="shared" si="15"/>
        <v>0.001458789464</v>
      </c>
      <c r="G6" s="4">
        <f t="shared" si="15"/>
        <v>0.004919363004</v>
      </c>
      <c r="H6" s="4">
        <f t="shared" si="2"/>
        <v>4617.4326</v>
      </c>
      <c r="I6" s="4">
        <f t="shared" si="6"/>
        <v>0.005555625586</v>
      </c>
      <c r="J6" s="4">
        <f t="shared" si="7"/>
        <v>0.005709404238</v>
      </c>
      <c r="K6" s="4">
        <f t="shared" si="8"/>
        <v>0.00000002364787394</v>
      </c>
      <c r="L6" s="9">
        <v>3174.66</v>
      </c>
      <c r="M6" s="4">
        <f t="shared" si="3"/>
        <v>9441.012736</v>
      </c>
      <c r="N6" s="4" t="s">
        <v>30</v>
      </c>
      <c r="O6" s="4">
        <f>AVERAGE(K3:K232)</f>
        <v>0.0000002717721779</v>
      </c>
      <c r="P6" s="4"/>
      <c r="Q6" s="4">
        <f t="shared" ref="Q6:S6" si="16">IF(E5=0,0,(E6-E5)/E5)</f>
        <v>-1.511797337</v>
      </c>
      <c r="R6" s="4">
        <f t="shared" si="16"/>
        <v>-0.8341853338</v>
      </c>
      <c r="S6" s="4">
        <f t="shared" si="16"/>
        <v>-1.503443604</v>
      </c>
      <c r="T6" s="11">
        <v>3174.66</v>
      </c>
      <c r="U6" s="4"/>
      <c r="V6" s="4"/>
      <c r="W6" s="4"/>
      <c r="X6" s="4"/>
      <c r="Y6" s="4">
        <f t="shared" ref="Y6:Z6" si="17">(L6-L5)/L5</f>
        <v>-0.006092444867</v>
      </c>
      <c r="Z6" s="4">
        <f t="shared" si="17"/>
        <v>0.005143222303</v>
      </c>
      <c r="AA6" s="6"/>
      <c r="AB6" s="6" t="s">
        <v>31</v>
      </c>
      <c r="AC6" s="6">
        <f>Z233-AC5</f>
        <v>-0.05263439039</v>
      </c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</row>
    <row r="7" ht="14.25" customHeight="1">
      <c r="A7" s="12">
        <v>45212.0</v>
      </c>
      <c r="B7" s="13">
        <v>2512.6</v>
      </c>
      <c r="C7" s="13">
        <v>13.46</v>
      </c>
      <c r="D7" s="13">
        <v>11686.0</v>
      </c>
      <c r="E7" s="4">
        <f t="shared" ref="E7:G7" si="18">LN(B7/B6)</f>
        <v>0.01912626609</v>
      </c>
      <c r="F7" s="4">
        <f t="shared" si="18"/>
        <v>-0.01913229808</v>
      </c>
      <c r="G7" s="4">
        <f t="shared" si="18"/>
        <v>0.01487128422</v>
      </c>
      <c r="H7" s="4">
        <f t="shared" si="2"/>
        <v>4689.9798</v>
      </c>
      <c r="I7" s="4">
        <f t="shared" si="6"/>
        <v>0.01558943907</v>
      </c>
      <c r="J7" s="4">
        <f t="shared" si="7"/>
        <v>0.015636911</v>
      </c>
      <c r="K7" s="4">
        <f t="shared" si="8"/>
        <v>0.000000002253583754</v>
      </c>
      <c r="L7" s="14">
        <v>3192.33</v>
      </c>
      <c r="M7" s="4">
        <f t="shared" si="3"/>
        <v>9584.83103</v>
      </c>
      <c r="N7" s="4"/>
      <c r="O7" s="4"/>
      <c r="P7" s="4"/>
      <c r="Q7" s="4">
        <f t="shared" ref="Q7:S7" si="19">IF(E6=0,0,(E7-E6)/E6)</f>
        <v>1.23548256</v>
      </c>
      <c r="R7" s="4">
        <f t="shared" si="19"/>
        <v>-14.11518801</v>
      </c>
      <c r="S7" s="4">
        <f t="shared" si="19"/>
        <v>2.023010135</v>
      </c>
      <c r="T7" s="15">
        <v>3192.33</v>
      </c>
      <c r="U7" s="4"/>
      <c r="V7" s="4"/>
      <c r="W7" s="4"/>
      <c r="X7" s="4"/>
      <c r="Y7" s="4">
        <f t="shared" ref="Y7:Z7" si="20">(L7-L6)/L6</f>
        <v>0.005565950369</v>
      </c>
      <c r="Z7" s="4">
        <f t="shared" si="20"/>
        <v>0.01523335455</v>
      </c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ht="14.25" customHeight="1">
      <c r="A8" s="7">
        <v>45215.0</v>
      </c>
      <c r="B8" s="8">
        <v>2530.0</v>
      </c>
      <c r="C8" s="8">
        <v>13.5</v>
      </c>
      <c r="D8" s="8">
        <v>11715.5</v>
      </c>
      <c r="E8" s="4">
        <f t="shared" ref="E8:G8" si="21">LN(B8/B7)</f>
        <v>0.006901229151</v>
      </c>
      <c r="F8" s="4">
        <f t="shared" si="21"/>
        <v>0.002967361228</v>
      </c>
      <c r="G8" s="4">
        <f t="shared" si="21"/>
        <v>0.002521207241</v>
      </c>
      <c r="H8" s="4">
        <f t="shared" si="2"/>
        <v>4705.47</v>
      </c>
      <c r="I8" s="4">
        <f t="shared" si="6"/>
        <v>0.003297386366</v>
      </c>
      <c r="J8" s="4">
        <f t="shared" si="7"/>
        <v>0.003497270017</v>
      </c>
      <c r="K8" s="4">
        <f t="shared" si="8"/>
        <v>0.00000003995347424</v>
      </c>
      <c r="L8" s="9">
        <v>3234.78</v>
      </c>
      <c r="M8" s="4">
        <f t="shared" si="3"/>
        <v>9611.484963</v>
      </c>
      <c r="N8" s="4"/>
      <c r="O8" s="4"/>
      <c r="P8" s="4"/>
      <c r="Q8" s="4">
        <f t="shared" ref="Q8:S8" si="22">IF(E7=0,0,(E8-E7)/E7)</f>
        <v>-0.6391753039</v>
      </c>
      <c r="R8" s="4">
        <f t="shared" si="22"/>
        <v>-1.155096958</v>
      </c>
      <c r="S8" s="4">
        <f t="shared" si="22"/>
        <v>-0.8304647262</v>
      </c>
      <c r="T8" s="11">
        <v>3234.78</v>
      </c>
      <c r="U8" s="4"/>
      <c r="V8" s="17"/>
      <c r="W8" s="4"/>
      <c r="X8" s="4"/>
      <c r="Y8" s="4">
        <f t="shared" ref="Y8:Z8" si="23">(L8-L7)/L7</f>
        <v>0.01329749744</v>
      </c>
      <c r="Z8" s="4">
        <f t="shared" si="23"/>
        <v>0.002780845399</v>
      </c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ht="14.25" customHeight="1">
      <c r="A9" s="12">
        <v>45216.0</v>
      </c>
      <c r="B9" s="13">
        <v>2527.4</v>
      </c>
      <c r="C9" s="13">
        <v>13.5</v>
      </c>
      <c r="D9" s="13">
        <v>11849.5</v>
      </c>
      <c r="E9" s="4">
        <f t="shared" ref="E9:G9" si="24">LN(B9/B8)</f>
        <v>-0.001028196397</v>
      </c>
      <c r="F9" s="4">
        <f t="shared" si="24"/>
        <v>0</v>
      </c>
      <c r="G9" s="4">
        <f t="shared" si="24"/>
        <v>0.01137292122</v>
      </c>
      <c r="H9" s="4">
        <f t="shared" si="2"/>
        <v>4748.832</v>
      </c>
      <c r="I9" s="4">
        <f t="shared" si="6"/>
        <v>0.009173031294</v>
      </c>
      <c r="J9" s="4">
        <f t="shared" si="7"/>
        <v>0.008555805404</v>
      </c>
      <c r="K9" s="4">
        <f t="shared" si="8"/>
        <v>0.0000003809677998</v>
      </c>
      <c r="L9" s="14">
        <v>3247.15</v>
      </c>
      <c r="M9" s="4">
        <f t="shared" si="3"/>
        <v>9714.407788</v>
      </c>
      <c r="N9" s="4"/>
      <c r="O9" s="4"/>
      <c r="P9" s="4"/>
      <c r="Q9" s="4">
        <f t="shared" ref="Q9:S9" si="25">IF(E8=0,0,(E9-E8)/E8)</f>
        <v>-1.14898743</v>
      </c>
      <c r="R9" s="4">
        <f t="shared" si="25"/>
        <v>-1</v>
      </c>
      <c r="S9" s="4">
        <f t="shared" si="25"/>
        <v>3.510902967</v>
      </c>
      <c r="T9" s="15">
        <v>3247.15</v>
      </c>
      <c r="U9" s="4"/>
      <c r="V9" s="4"/>
      <c r="W9" s="4"/>
      <c r="X9" s="4"/>
      <c r="Y9" s="4">
        <f t="shared" ref="Y9:Z9" si="26">(L9-L8)/L8</f>
        <v>0.003824062224</v>
      </c>
      <c r="Z9" s="4">
        <f t="shared" si="26"/>
        <v>0.01070831671</v>
      </c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</row>
    <row r="10" ht="14.25" customHeight="1">
      <c r="A10" s="7">
        <v>45217.0</v>
      </c>
      <c r="B10" s="8">
        <v>2527.2</v>
      </c>
      <c r="C10" s="8">
        <v>13.37</v>
      </c>
      <c r="D10" s="8">
        <v>11928.5</v>
      </c>
      <c r="E10" s="4">
        <f t="shared" ref="E10:G10" si="27">LN(B10/B9)</f>
        <v>-0.0000791358367</v>
      </c>
      <c r="F10" s="4">
        <f t="shared" si="27"/>
        <v>-0.009676294331</v>
      </c>
      <c r="G10" s="4">
        <f t="shared" si="27"/>
        <v>0.006644822161</v>
      </c>
      <c r="H10" s="4">
        <f t="shared" si="2"/>
        <v>4774.7931</v>
      </c>
      <c r="I10" s="4">
        <f t="shared" si="6"/>
        <v>0.005451950078</v>
      </c>
      <c r="J10" s="4">
        <f t="shared" si="7"/>
        <v>0.005063529595</v>
      </c>
      <c r="K10" s="4">
        <f t="shared" si="8"/>
        <v>0.0000001508704723</v>
      </c>
      <c r="L10" s="9">
        <v>3249.21</v>
      </c>
      <c r="M10" s="4">
        <f t="shared" si="3"/>
        <v>9775.381776</v>
      </c>
      <c r="N10" s="4"/>
      <c r="O10" s="4"/>
      <c r="P10" s="4"/>
      <c r="Q10" s="4">
        <f t="shared" ref="Q10:S10" si="28">IF(E9=0,0,(E10-E9)/E9)</f>
        <v>-0.9230343182</v>
      </c>
      <c r="R10" s="4">
        <f t="shared" si="28"/>
        <v>0</v>
      </c>
      <c r="S10" s="4">
        <f t="shared" si="28"/>
        <v>-0.4157330355</v>
      </c>
      <c r="T10" s="11">
        <v>3249.21</v>
      </c>
      <c r="U10" s="4"/>
      <c r="V10" s="4"/>
      <c r="W10" s="4"/>
      <c r="X10" s="4"/>
      <c r="Y10" s="4">
        <f t="shared" ref="Y10:Z10" si="29">(L10-L9)/L9</f>
        <v>0.000634402476</v>
      </c>
      <c r="Z10" s="4">
        <f t="shared" si="29"/>
        <v>0.006276655162</v>
      </c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</row>
    <row r="11" ht="14.25" customHeight="1">
      <c r="A11" s="12">
        <v>45218.0</v>
      </c>
      <c r="B11" s="13">
        <v>2660.6</v>
      </c>
      <c r="C11" s="13">
        <v>13.25</v>
      </c>
      <c r="D11" s="13">
        <v>11887.5</v>
      </c>
      <c r="E11" s="4">
        <f t="shared" ref="E11:G11" si="30">LN(B11/B10)</f>
        <v>0.05143969076</v>
      </c>
      <c r="F11" s="4">
        <f t="shared" si="30"/>
        <v>-0.009015838682</v>
      </c>
      <c r="G11" s="4">
        <f t="shared" si="30"/>
        <v>-0.003443066888</v>
      </c>
      <c r="H11" s="4">
        <f t="shared" si="2"/>
        <v>4805.2455</v>
      </c>
      <c r="I11" s="4">
        <f t="shared" si="6"/>
        <v>0.006357490578</v>
      </c>
      <c r="J11" s="4">
        <f t="shared" si="7"/>
        <v>0.008728058178</v>
      </c>
      <c r="K11" s="4">
        <f t="shared" si="8"/>
        <v>0.000005619590745</v>
      </c>
      <c r="L11" s="14">
        <v>3255.16</v>
      </c>
      <c r="M11" s="4">
        <f t="shared" si="3"/>
        <v>9773.368365</v>
      </c>
      <c r="N11" s="4"/>
      <c r="O11" s="4"/>
      <c r="P11" s="4"/>
      <c r="Q11" s="4">
        <f t="shared" ref="Q11:S11" si="31">IF(E10=0,0,(E11-E10)/E10)</f>
        <v>-651.017652</v>
      </c>
      <c r="R11" s="4">
        <f t="shared" si="31"/>
        <v>-0.06825501854</v>
      </c>
      <c r="S11" s="4">
        <f t="shared" si="31"/>
        <v>-1.518157869</v>
      </c>
      <c r="T11" s="15">
        <v>3255.16</v>
      </c>
      <c r="U11" s="4"/>
      <c r="V11" s="4"/>
      <c r="W11" s="4"/>
      <c r="X11" s="4"/>
      <c r="Y11" s="4">
        <f t="shared" ref="Y11:Z11" si="32">(L11-L10)/L10</f>
        <v>0.001831214357</v>
      </c>
      <c r="Z11" s="4">
        <f t="shared" si="32"/>
        <v>-0.0002059674776</v>
      </c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 ht="14.25" customHeight="1">
      <c r="A12" s="7">
        <v>45219.0</v>
      </c>
      <c r="B12" s="8">
        <v>2679.4</v>
      </c>
      <c r="C12" s="8">
        <v>13.13</v>
      </c>
      <c r="D12" s="8">
        <v>11829.0</v>
      </c>
      <c r="E12" s="4">
        <f t="shared" ref="E12:G12" si="33">LN(B12/B11)</f>
        <v>0.007041227593</v>
      </c>
      <c r="F12" s="4">
        <f t="shared" si="33"/>
        <v>-0.009097864118</v>
      </c>
      <c r="G12" s="4">
        <f t="shared" si="33"/>
        <v>-0.004933284308</v>
      </c>
      <c r="H12" s="4">
        <f t="shared" si="2"/>
        <v>4792.1049</v>
      </c>
      <c r="I12" s="4">
        <f t="shared" si="6"/>
        <v>-0.002738382504</v>
      </c>
      <c r="J12" s="4">
        <f t="shared" si="7"/>
        <v>-0.002293378518</v>
      </c>
      <c r="K12" s="4">
        <f t="shared" si="8"/>
        <v>0.0000001980285475</v>
      </c>
      <c r="L12" s="9">
        <v>3269.27</v>
      </c>
      <c r="M12" s="4">
        <f t="shared" si="3"/>
        <v>9732.361991</v>
      </c>
      <c r="N12" s="4"/>
      <c r="O12" s="4"/>
      <c r="P12" s="4"/>
      <c r="Q12" s="4">
        <f t="shared" ref="Q12:S12" si="34">IF(E11=0,0,(E12-E11)/E11)</f>
        <v>-0.8631168367</v>
      </c>
      <c r="R12" s="4">
        <f t="shared" si="34"/>
        <v>0.009097926305</v>
      </c>
      <c r="S12" s="4">
        <f t="shared" si="34"/>
        <v>0.432816866</v>
      </c>
      <c r="T12" s="11">
        <v>3269.27</v>
      </c>
      <c r="U12" s="4"/>
      <c r="V12" s="4"/>
      <c r="W12" s="4"/>
      <c r="X12" s="4"/>
      <c r="Y12" s="4">
        <f t="shared" ref="Y12:Z12" si="35">(L12-L11)/L11</f>
        <v>0.004334656361</v>
      </c>
      <c r="Z12" s="4">
        <f t="shared" si="35"/>
        <v>-0.004195725846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ht="14.25" customHeight="1">
      <c r="A13" s="12">
        <v>45222.0</v>
      </c>
      <c r="B13" s="13">
        <v>2677.2</v>
      </c>
      <c r="C13" s="13">
        <v>13.25</v>
      </c>
      <c r="D13" s="13">
        <v>11797.0</v>
      </c>
      <c r="E13" s="4">
        <f t="shared" ref="E13:G13" si="36">LN(B13/B12)</f>
        <v>-0.0008214166164</v>
      </c>
      <c r="F13" s="4">
        <f t="shared" si="36"/>
        <v>0.009097864118</v>
      </c>
      <c r="G13" s="4">
        <f t="shared" si="36"/>
        <v>-0.002708881704</v>
      </c>
      <c r="H13" s="4">
        <f t="shared" si="2"/>
        <v>4780.8585</v>
      </c>
      <c r="I13" s="4">
        <f t="shared" si="6"/>
        <v>-0.002349618337</v>
      </c>
      <c r="J13" s="4">
        <f t="shared" si="7"/>
        <v>-0.00222669545</v>
      </c>
      <c r="K13" s="4">
        <f t="shared" si="8"/>
        <v>0.00000001511003616</v>
      </c>
      <c r="L13" s="14">
        <v>3263.68</v>
      </c>
      <c r="M13" s="4">
        <f t="shared" si="3"/>
        <v>9707.156945</v>
      </c>
      <c r="N13" s="4"/>
      <c r="O13" s="4"/>
      <c r="P13" s="4"/>
      <c r="Q13" s="4">
        <f t="shared" ref="Q13:S13" si="37">IF(E12=0,0,(E13-E12)/E12)</f>
        <v>-1.116658154</v>
      </c>
      <c r="R13" s="4">
        <f t="shared" si="37"/>
        <v>-2</v>
      </c>
      <c r="S13" s="4">
        <f t="shared" si="37"/>
        <v>-0.4508969006</v>
      </c>
      <c r="T13" s="15">
        <v>3263.68</v>
      </c>
      <c r="U13" s="4"/>
      <c r="V13" s="4"/>
      <c r="W13" s="4"/>
      <c r="X13" s="4"/>
      <c r="Y13" s="4">
        <f t="shared" ref="Y13:Z13" si="38">(L13-L12)/L12</f>
        <v>-0.001709861835</v>
      </c>
      <c r="Z13" s="4">
        <f t="shared" si="38"/>
        <v>-0.002589817966</v>
      </c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ht="14.25" customHeight="1">
      <c r="A14" s="7">
        <v>45223.0</v>
      </c>
      <c r="B14" s="8">
        <v>2725.2</v>
      </c>
      <c r="C14" s="8">
        <v>13.29</v>
      </c>
      <c r="D14" s="8">
        <v>11759.0</v>
      </c>
      <c r="E14" s="4">
        <f t="shared" ref="E14:G14" si="39">LN(B14/B13)</f>
        <v>0.01777034767</v>
      </c>
      <c r="F14" s="4">
        <f t="shared" si="39"/>
        <v>0.003014320293</v>
      </c>
      <c r="G14" s="4">
        <f t="shared" si="39"/>
        <v>-0.003226357018</v>
      </c>
      <c r="H14" s="4">
        <f t="shared" si="2"/>
        <v>4784.1717</v>
      </c>
      <c r="I14" s="4">
        <f t="shared" si="6"/>
        <v>0.0006927735853</v>
      </c>
      <c r="J14" s="4">
        <f t="shared" si="7"/>
        <v>0.001474385098</v>
      </c>
      <c r="K14" s="4">
        <f t="shared" si="8"/>
        <v>0.0000006109165564</v>
      </c>
      <c r="L14" s="9">
        <v>3265.01</v>
      </c>
      <c r="M14" s="4">
        <f t="shared" si="3"/>
        <v>9688.476783</v>
      </c>
      <c r="N14" s="4"/>
      <c r="O14" s="4"/>
      <c r="P14" s="4"/>
      <c r="Q14" s="4">
        <f t="shared" ref="Q14:S14" si="40">IF(E13=0,0,(E14-E13)/E13)</f>
        <v>-22.63378159</v>
      </c>
      <c r="R14" s="4">
        <f t="shared" si="40"/>
        <v>-0.6686782465</v>
      </c>
      <c r="S14" s="4">
        <f t="shared" si="40"/>
        <v>0.1910291298</v>
      </c>
      <c r="T14" s="11">
        <v>3265.01</v>
      </c>
      <c r="U14" s="4"/>
      <c r="V14" s="4"/>
      <c r="W14" s="4"/>
      <c r="X14" s="4"/>
      <c r="Y14" s="4">
        <f t="shared" ref="Y14:Z14" si="41">(L14-L13)/L13</f>
        <v>0.0004075154427</v>
      </c>
      <c r="Z14" s="4">
        <f t="shared" si="41"/>
        <v>-0.001924370052</v>
      </c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ht="14.25" customHeight="1">
      <c r="A15" s="12">
        <v>45224.0</v>
      </c>
      <c r="B15" s="13">
        <v>2737.0</v>
      </c>
      <c r="C15" s="13">
        <v>13.43</v>
      </c>
      <c r="D15" s="13">
        <v>11756.0</v>
      </c>
      <c r="E15" s="4">
        <f t="shared" ref="E15:G15" si="42">LN(B15/B14)</f>
        <v>0.004320610141</v>
      </c>
      <c r="F15" s="4">
        <f t="shared" si="42"/>
        <v>0.01047913781</v>
      </c>
      <c r="G15" s="4">
        <f t="shared" si="42"/>
        <v>-0.0002551562846</v>
      </c>
      <c r="H15" s="4">
        <f t="shared" si="2"/>
        <v>4787.1219</v>
      </c>
      <c r="I15" s="4">
        <f t="shared" si="6"/>
        <v>0.0006164684141</v>
      </c>
      <c r="J15" s="4">
        <f t="shared" si="7"/>
        <v>0.000818965034</v>
      </c>
      <c r="K15" s="4">
        <f t="shared" si="8"/>
        <v>0.00000004100488106</v>
      </c>
      <c r="L15" s="14">
        <v>3265.28</v>
      </c>
      <c r="M15" s="4">
        <f t="shared" si="3"/>
        <v>9688.783533</v>
      </c>
      <c r="N15" s="4"/>
      <c r="O15" s="4"/>
      <c r="P15" s="4"/>
      <c r="Q15" s="4">
        <f t="shared" ref="Q15:S15" si="43">IF(E14=0,0,(E15-E14)/E14)</f>
        <v>-0.7568640625</v>
      </c>
      <c r="R15" s="4">
        <f t="shared" si="43"/>
        <v>2.476451336</v>
      </c>
      <c r="S15" s="4">
        <f t="shared" si="43"/>
        <v>-0.9209150497</v>
      </c>
      <c r="T15" s="15">
        <v>3265.28</v>
      </c>
      <c r="U15" s="4"/>
      <c r="V15" s="4"/>
      <c r="W15" s="4"/>
      <c r="X15" s="4"/>
      <c r="Y15" s="4">
        <f t="shared" ref="Y15:Z15" si="44">(L15-L14)/L14</f>
        <v>0.0000826949994</v>
      </c>
      <c r="Z15" s="4">
        <f t="shared" si="44"/>
        <v>0.00003166130386</v>
      </c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ht="14.25" customHeight="1">
      <c r="A16" s="7">
        <v>45226.0</v>
      </c>
      <c r="B16" s="8">
        <v>2666.6</v>
      </c>
      <c r="C16" s="8">
        <v>13.58</v>
      </c>
      <c r="D16" s="8">
        <v>11726.0</v>
      </c>
      <c r="E16" s="4">
        <f t="shared" ref="E16:G16" si="45">LN(B16/B15)</f>
        <v>-0.02605817736</v>
      </c>
      <c r="F16" s="4">
        <f t="shared" si="45"/>
        <v>0.0111071116</v>
      </c>
      <c r="G16" s="4">
        <f t="shared" si="45"/>
        <v>-0.002555150015</v>
      </c>
      <c r="H16" s="4">
        <f t="shared" si="2"/>
        <v>4754.0394</v>
      </c>
      <c r="I16" s="4">
        <f t="shared" si="6"/>
        <v>-0.006934718225</v>
      </c>
      <c r="J16" s="4">
        <f t="shared" si="7"/>
        <v>-0.007707540663</v>
      </c>
      <c r="K16" s="4">
        <f t="shared" si="8"/>
        <v>0.0000005972545209</v>
      </c>
      <c r="L16" s="9">
        <v>3224.18</v>
      </c>
      <c r="M16" s="4">
        <f t="shared" si="3"/>
        <v>9649.962285</v>
      </c>
      <c r="N16" s="4"/>
      <c r="O16" s="4"/>
      <c r="P16" s="4"/>
      <c r="Q16" s="4">
        <f t="shared" ref="Q16:S16" si="46">IF(E15=0,0,(E16-E15)/E15)</f>
        <v>-7.031133684</v>
      </c>
      <c r="R16" s="4">
        <f t="shared" si="46"/>
        <v>0.05992609285</v>
      </c>
      <c r="S16" s="4">
        <f t="shared" si="46"/>
        <v>9.014058711</v>
      </c>
      <c r="T16" s="11">
        <v>3224.18</v>
      </c>
      <c r="U16" s="4"/>
      <c r="V16" s="4"/>
      <c r="W16" s="4"/>
      <c r="X16" s="4"/>
      <c r="Y16" s="4">
        <f t="shared" ref="Y16:Z16" si="47">(L16-L15)/L15</f>
        <v>-0.0125869757</v>
      </c>
      <c r="Z16" s="4">
        <f t="shared" si="47"/>
        <v>-0.004006823728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  <row r="17" ht="14.25" customHeight="1">
      <c r="A17" s="12">
        <v>45229.0</v>
      </c>
      <c r="B17" s="13">
        <v>2603.6</v>
      </c>
      <c r="C17" s="13">
        <v>13.64</v>
      </c>
      <c r="D17" s="13">
        <v>11650.0</v>
      </c>
      <c r="E17" s="4">
        <f t="shared" ref="E17:G17" si="48">LN(B17/B16)</f>
        <v>-0.02390914998</v>
      </c>
      <c r="F17" s="4">
        <f t="shared" si="48"/>
        <v>0.004408530285</v>
      </c>
      <c r="G17" s="4">
        <f t="shared" si="48"/>
        <v>-0.00650241853</v>
      </c>
      <c r="H17" s="4">
        <f t="shared" si="2"/>
        <v>4708.1892</v>
      </c>
      <c r="I17" s="4">
        <f t="shared" si="6"/>
        <v>-0.009691281155</v>
      </c>
      <c r="J17" s="4">
        <f t="shared" si="7"/>
        <v>-0.01031416314</v>
      </c>
      <c r="K17" s="4">
        <f t="shared" si="8"/>
        <v>0.0000003879819692</v>
      </c>
      <c r="L17" s="14">
        <v>3227.07</v>
      </c>
      <c r="M17" s="4">
        <f t="shared" si="3"/>
        <v>9577.255481</v>
      </c>
      <c r="N17" s="4"/>
      <c r="O17" s="4"/>
      <c r="P17" s="4"/>
      <c r="Q17" s="4">
        <f t="shared" ref="Q17:S17" si="49">IF(E16=0,0,(E17-E16)/E16)</f>
        <v>-0.08247036416</v>
      </c>
      <c r="R17" s="4">
        <f t="shared" si="49"/>
        <v>-0.6030894039</v>
      </c>
      <c r="S17" s="4">
        <f t="shared" si="49"/>
        <v>1.544828481</v>
      </c>
      <c r="T17" s="15">
        <v>3227.07</v>
      </c>
      <c r="U17" s="4"/>
      <c r="V17" s="4"/>
      <c r="W17" s="4"/>
      <c r="X17" s="4"/>
      <c r="Y17" s="4">
        <f t="shared" ref="Y17:Z17" si="50">(L17-L16)/L16</f>
        <v>0.0008963519406</v>
      </c>
      <c r="Z17" s="4">
        <f t="shared" si="50"/>
        <v>-0.007534413325</v>
      </c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</row>
    <row r="18" ht="14.25" customHeight="1">
      <c r="A18" s="7">
        <v>45230.0</v>
      </c>
      <c r="B18" s="8">
        <v>2612.0</v>
      </c>
      <c r="C18" s="8">
        <v>13.67</v>
      </c>
      <c r="D18" s="8">
        <v>11323.0</v>
      </c>
      <c r="E18" s="4">
        <f t="shared" ref="E18:G18" si="51">LN(B18/B17)</f>
        <v>0.003221108698</v>
      </c>
      <c r="F18" s="4">
        <f t="shared" si="51"/>
        <v>0.002196998321</v>
      </c>
      <c r="G18" s="4">
        <f t="shared" si="51"/>
        <v>-0.02847012468</v>
      </c>
      <c r="H18" s="4">
        <f t="shared" si="2"/>
        <v>4603.0611</v>
      </c>
      <c r="I18" s="4">
        <f t="shared" si="6"/>
        <v>-0.02258183681</v>
      </c>
      <c r="J18" s="4">
        <f t="shared" si="7"/>
        <v>-0.021262444</v>
      </c>
      <c r="K18" s="4">
        <f t="shared" si="8"/>
        <v>0.000001740797373</v>
      </c>
      <c r="L18" s="9">
        <v>3200.97</v>
      </c>
      <c r="M18" s="4">
        <f t="shared" si="3"/>
        <v>9326.550108</v>
      </c>
      <c r="N18" s="4"/>
      <c r="O18" s="4"/>
      <c r="P18" s="4"/>
      <c r="Q18" s="4">
        <f t="shared" ref="Q18:S18" si="52">IF(E17=0,0,(E18-E17)/E17)</f>
        <v>-1.134722845</v>
      </c>
      <c r="R18" s="4">
        <f t="shared" si="52"/>
        <v>-0.5016483548</v>
      </c>
      <c r="S18" s="4">
        <f t="shared" si="52"/>
        <v>3.378390063</v>
      </c>
      <c r="T18" s="11">
        <v>3200.97</v>
      </c>
      <c r="U18" s="4"/>
      <c r="V18" s="4"/>
      <c r="W18" s="4"/>
      <c r="X18" s="4"/>
      <c r="Y18" s="4">
        <f t="shared" ref="Y18:Z18" si="53">(L18-L17)/L17</f>
        <v>-0.008087831996</v>
      </c>
      <c r="Z18" s="4">
        <f t="shared" si="53"/>
        <v>-0.02617716243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</row>
    <row r="19" ht="14.25" customHeight="1">
      <c r="A19" s="12">
        <v>45231.0</v>
      </c>
      <c r="B19" s="13">
        <v>2639.8</v>
      </c>
      <c r="C19" s="13">
        <v>13.83</v>
      </c>
      <c r="D19" s="13">
        <v>11472.5</v>
      </c>
      <c r="E19" s="4">
        <f t="shared" ref="E19:G19" si="54">LN(B19/B18)</f>
        <v>0.0105869453</v>
      </c>
      <c r="F19" s="4">
        <f t="shared" si="54"/>
        <v>0.01163649494</v>
      </c>
      <c r="G19" s="4">
        <f t="shared" si="54"/>
        <v>0.01311681195</v>
      </c>
      <c r="H19" s="4">
        <f t="shared" si="2"/>
        <v>4661.6229</v>
      </c>
      <c r="I19" s="4">
        <f t="shared" si="6"/>
        <v>0.01264211061</v>
      </c>
      <c r="J19" s="4">
        <f t="shared" si="7"/>
        <v>0.01254656381</v>
      </c>
      <c r="K19" s="4">
        <f t="shared" si="8"/>
        <v>0.00000000912919198</v>
      </c>
      <c r="L19" s="14">
        <v>3206.52</v>
      </c>
      <c r="M19" s="4">
        <f t="shared" si="3"/>
        <v>9448.20394</v>
      </c>
      <c r="N19" s="4"/>
      <c r="O19" s="4"/>
      <c r="P19" s="4"/>
      <c r="Q19" s="4">
        <f t="shared" ref="Q19:S19" si="55">IF(E18=0,0,(E19-E18)/E18)</f>
        <v>2.286739533</v>
      </c>
      <c r="R19" s="4">
        <f t="shared" si="55"/>
        <v>4.296542483</v>
      </c>
      <c r="S19" s="4">
        <f t="shared" si="55"/>
        <v>-1.460721971</v>
      </c>
      <c r="T19" s="15">
        <v>3206.52</v>
      </c>
      <c r="U19" s="4"/>
      <c r="V19" s="4"/>
      <c r="W19" s="4"/>
      <c r="X19" s="4"/>
      <c r="Y19" s="4">
        <f t="shared" ref="Y19:Z19" si="56">(L19-L18)/L18</f>
        <v>0.001733849427</v>
      </c>
      <c r="Z19" s="4">
        <f t="shared" si="56"/>
        <v>0.01304381901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</row>
    <row r="20" ht="14.25" customHeight="1">
      <c r="A20" s="7">
        <v>45232.0</v>
      </c>
      <c r="B20" s="8">
        <v>2625.6</v>
      </c>
      <c r="C20" s="8">
        <v>14.09</v>
      </c>
      <c r="D20" s="8">
        <v>11400.5</v>
      </c>
      <c r="E20" s="4">
        <f t="shared" ref="E20:G20" si="57">LN(B20/B19)</f>
        <v>-0.005393715359</v>
      </c>
      <c r="F20" s="4">
        <f t="shared" si="57"/>
        <v>0.01862518023</v>
      </c>
      <c r="G20" s="4">
        <f t="shared" si="57"/>
        <v>-0.006295653199</v>
      </c>
      <c r="H20" s="4">
        <f t="shared" si="2"/>
        <v>4633.2627</v>
      </c>
      <c r="I20" s="4">
        <f t="shared" si="6"/>
        <v>-0.006102342563</v>
      </c>
      <c r="J20" s="4">
        <f t="shared" si="7"/>
        <v>-0.005963028053</v>
      </c>
      <c r="K20" s="4">
        <f t="shared" si="8"/>
        <v>0.00000001940853263</v>
      </c>
      <c r="L20" s="9">
        <v>3197.22</v>
      </c>
      <c r="M20" s="4">
        <f t="shared" si="3"/>
        <v>9389.436219</v>
      </c>
      <c r="N20" s="4"/>
      <c r="O20" s="4"/>
      <c r="P20" s="4"/>
      <c r="Q20" s="4">
        <f t="shared" ref="Q20:S20" si="58">IF(E19=0,0,(E20-E19)/E19)</f>
        <v>-1.509468521</v>
      </c>
      <c r="R20" s="4">
        <f t="shared" si="58"/>
        <v>0.6005833654</v>
      </c>
      <c r="S20" s="4">
        <f t="shared" si="58"/>
        <v>-1.479968244</v>
      </c>
      <c r="T20" s="11">
        <v>3197.22</v>
      </c>
      <c r="U20" s="4"/>
      <c r="V20" s="4"/>
      <c r="W20" s="4"/>
      <c r="X20" s="4"/>
      <c r="Y20" s="4">
        <f t="shared" ref="Y20:Z20" si="59">(L20-L19)/L19</f>
        <v>-0.002900340556</v>
      </c>
      <c r="Z20" s="4">
        <f t="shared" si="59"/>
        <v>-0.006219988578</v>
      </c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ht="14.25" customHeight="1">
      <c r="A21" s="12">
        <v>45233.0</v>
      </c>
      <c r="B21" s="13">
        <v>2613.0</v>
      </c>
      <c r="C21" s="13">
        <v>15.05</v>
      </c>
      <c r="D21" s="13">
        <v>11413.5</v>
      </c>
      <c r="E21" s="4">
        <f t="shared" ref="E21:G21" si="60">LN(B21/B20)</f>
        <v>-0.004810454815</v>
      </c>
      <c r="F21" s="4">
        <f t="shared" si="60"/>
        <v>0.06591266528</v>
      </c>
      <c r="G21" s="4">
        <f t="shared" si="60"/>
        <v>0.001139651215</v>
      </c>
      <c r="H21" s="4">
        <f t="shared" si="2"/>
        <v>4633.7115</v>
      </c>
      <c r="I21" s="4">
        <f t="shared" si="6"/>
        <v>0.00009686009493</v>
      </c>
      <c r="J21" s="4">
        <f t="shared" si="7"/>
        <v>0.000160318675</v>
      </c>
      <c r="K21" s="4">
        <f t="shared" si="8"/>
        <v>0.000000004026991383</v>
      </c>
      <c r="L21" s="14">
        <v>3208.63</v>
      </c>
      <c r="M21" s="4">
        <f t="shared" si="3"/>
        <v>9396.681399</v>
      </c>
      <c r="N21" s="4"/>
      <c r="O21" s="4"/>
      <c r="P21" s="4"/>
      <c r="Q21" s="4">
        <f t="shared" ref="Q21:S21" si="61">IF(E20=0,0,(E21-E20)/E20)</f>
        <v>-0.1081370642</v>
      </c>
      <c r="R21" s="4">
        <f t="shared" si="61"/>
        <v>2.538900803</v>
      </c>
      <c r="S21" s="4">
        <f t="shared" si="61"/>
        <v>-1.181021918</v>
      </c>
      <c r="T21" s="15">
        <v>3208.63</v>
      </c>
      <c r="U21" s="4"/>
      <c r="V21" s="4"/>
      <c r="W21" s="4"/>
      <c r="X21" s="4"/>
      <c r="Y21" s="4">
        <f t="shared" ref="Y21:Z21" si="62">(L21-L20)/L20</f>
        <v>0.00356872533</v>
      </c>
      <c r="Z21" s="4">
        <f t="shared" si="62"/>
        <v>0.0007716310013</v>
      </c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</row>
    <row r="22" ht="14.25" customHeight="1">
      <c r="A22" s="7">
        <v>45236.0</v>
      </c>
      <c r="B22" s="8">
        <v>2638.0</v>
      </c>
      <c r="C22" s="8">
        <v>14.98</v>
      </c>
      <c r="D22" s="8">
        <v>11363.5</v>
      </c>
      <c r="E22" s="4">
        <f t="shared" ref="E22:G22" si="63">LN(B22/B21)</f>
        <v>0.009522067757</v>
      </c>
      <c r="F22" s="4">
        <f t="shared" si="63"/>
        <v>-0.004662013106</v>
      </c>
      <c r="G22" s="4">
        <f t="shared" si="63"/>
        <v>-0.004390400871</v>
      </c>
      <c r="H22" s="4">
        <f t="shared" si="2"/>
        <v>4625.4384</v>
      </c>
      <c r="I22" s="4">
        <f t="shared" si="6"/>
        <v>-0.001787011182</v>
      </c>
      <c r="J22" s="4">
        <f t="shared" si="7"/>
        <v>-0.001299040088</v>
      </c>
      <c r="K22" s="4">
        <f t="shared" si="8"/>
        <v>0.0000002381157881</v>
      </c>
      <c r="L22" s="9">
        <v>3235.11</v>
      </c>
      <c r="M22" s="4">
        <f t="shared" si="3"/>
        <v>9363.618927</v>
      </c>
      <c r="N22" s="4"/>
      <c r="O22" s="4"/>
      <c r="P22" s="4"/>
      <c r="Q22" s="4">
        <f t="shared" ref="Q22:S22" si="64">IF(E21=0,0,(E22-E21)/E21)</f>
        <v>-2.979452697</v>
      </c>
      <c r="R22" s="4">
        <f t="shared" si="64"/>
        <v>-1.070730156</v>
      </c>
      <c r="S22" s="4">
        <f t="shared" si="64"/>
        <v>-4.852407485</v>
      </c>
      <c r="T22" s="11">
        <v>3235.11</v>
      </c>
      <c r="U22" s="4"/>
      <c r="V22" s="4"/>
      <c r="W22" s="4"/>
      <c r="X22" s="4"/>
      <c r="Y22" s="4">
        <f t="shared" ref="Y22:Z22" si="65">(L22-L21)/L21</f>
        <v>0.008252743383</v>
      </c>
      <c r="Z22" s="4">
        <f t="shared" si="65"/>
        <v>-0.00351852651</v>
      </c>
      <c r="AA22" s="6"/>
      <c r="AB22" s="6"/>
      <c r="AC22" s="6"/>
      <c r="AD22" s="6"/>
      <c r="AE22" s="6"/>
      <c r="AF22" s="6"/>
      <c r="AG22" s="19"/>
      <c r="AH22" s="19"/>
      <c r="AI22" s="19"/>
      <c r="AJ22" s="19"/>
      <c r="AK22" s="19"/>
      <c r="AL22" s="19"/>
      <c r="AM22" s="19"/>
      <c r="AN22" s="19"/>
      <c r="AO22" s="19"/>
    </row>
    <row r="23" ht="14.25" customHeight="1">
      <c r="A23" s="12">
        <v>45237.0</v>
      </c>
      <c r="B23" s="13">
        <v>2633.2</v>
      </c>
      <c r="C23" s="13">
        <v>15.09</v>
      </c>
      <c r="D23" s="13">
        <v>11351.5</v>
      </c>
      <c r="E23" s="4">
        <f t="shared" ref="E23:G23" si="66">LN(B23/B22)</f>
        <v>-0.001821217684</v>
      </c>
      <c r="F23" s="4">
        <f t="shared" si="66"/>
        <v>0.007316294691</v>
      </c>
      <c r="G23" s="4">
        <f t="shared" si="66"/>
        <v>-0.001056570646</v>
      </c>
      <c r="H23" s="4">
        <f t="shared" si="2"/>
        <v>4619.9307</v>
      </c>
      <c r="I23" s="4">
        <f t="shared" si="6"/>
        <v>-0.00119145068</v>
      </c>
      <c r="J23" s="4">
        <f t="shared" si="7"/>
        <v>-0.001182165258</v>
      </c>
      <c r="K23" s="4">
        <f t="shared" si="8"/>
        <v>0</v>
      </c>
      <c r="L23" s="14">
        <v>3246.34</v>
      </c>
      <c r="M23" s="4">
        <f t="shared" si="3"/>
        <v>9353.28372</v>
      </c>
      <c r="N23" s="4"/>
      <c r="O23" s="4"/>
      <c r="P23" s="4"/>
      <c r="Q23" s="4">
        <f t="shared" ref="Q23:S23" si="67">IF(E22=0,0,(E23-E22)/E22)</f>
        <v>-1.191262836</v>
      </c>
      <c r="R23" s="4">
        <f t="shared" si="67"/>
        <v>-2.569342369</v>
      </c>
      <c r="S23" s="4">
        <f t="shared" si="67"/>
        <v>-0.7593452904</v>
      </c>
      <c r="T23" s="15">
        <v>3246.34</v>
      </c>
      <c r="U23" s="4"/>
      <c r="V23" s="4"/>
      <c r="W23" s="4"/>
      <c r="X23" s="4"/>
      <c r="Y23" s="4">
        <f t="shared" ref="Y23:Z23" si="68">(L23-L22)/L22</f>
        <v>0.003471288457</v>
      </c>
      <c r="Z23" s="4">
        <f t="shared" si="68"/>
        <v>-0.001103762024</v>
      </c>
      <c r="AA23" s="6"/>
      <c r="AB23" s="6"/>
      <c r="AC23" s="6"/>
      <c r="AD23" s="6"/>
      <c r="AE23" s="6"/>
      <c r="AF23" s="6"/>
      <c r="AG23" s="19"/>
      <c r="AH23" s="19"/>
      <c r="AI23" s="19"/>
      <c r="AJ23" s="19"/>
      <c r="AK23" s="19"/>
      <c r="AL23" s="19"/>
      <c r="AM23" s="19"/>
      <c r="AN23" s="19"/>
      <c r="AO23" s="19"/>
    </row>
    <row r="24" ht="14.25" customHeight="1">
      <c r="A24" s="7">
        <v>45238.0</v>
      </c>
      <c r="B24" s="8">
        <v>2614.8</v>
      </c>
      <c r="C24" s="8">
        <v>15.12</v>
      </c>
      <c r="D24" s="8">
        <v>11294.5</v>
      </c>
      <c r="E24" s="4">
        <f t="shared" ref="E24:G24" si="69">LN(B24/B23)</f>
        <v>-0.007012223855</v>
      </c>
      <c r="F24" s="4">
        <f t="shared" si="69"/>
        <v>0.001986097972</v>
      </c>
      <c r="G24" s="4">
        <f t="shared" si="69"/>
        <v>-0.00503401222</v>
      </c>
      <c r="H24" s="4">
        <f t="shared" si="2"/>
        <v>4595.0586</v>
      </c>
      <c r="I24" s="4">
        <f t="shared" si="6"/>
        <v>-0.005398196262</v>
      </c>
      <c r="J24" s="4">
        <f t="shared" si="7"/>
        <v>-0.005436559168</v>
      </c>
      <c r="K24" s="4">
        <f t="shared" si="8"/>
        <v>0.000000001471712523</v>
      </c>
      <c r="L24" s="9">
        <v>3245.43</v>
      </c>
      <c r="M24" s="4">
        <f t="shared" si="3"/>
        <v>9305.167014</v>
      </c>
      <c r="N24" s="4"/>
      <c r="O24" s="4"/>
      <c r="P24" s="4"/>
      <c r="Q24" s="4">
        <f t="shared" ref="Q24:S24" si="70">IF(E23=0,0,(E24-E23)/E23)</f>
        <v>2.850294184</v>
      </c>
      <c r="R24" s="4">
        <f t="shared" si="70"/>
        <v>-0.7285377291</v>
      </c>
      <c r="S24" s="4">
        <f t="shared" si="70"/>
        <v>3.764482373</v>
      </c>
      <c r="T24" s="11">
        <v>3245.43</v>
      </c>
      <c r="U24" s="4"/>
      <c r="V24" s="4"/>
      <c r="W24" s="4"/>
      <c r="X24" s="4"/>
      <c r="Y24" s="4">
        <f t="shared" ref="Y24:Z24" si="71">(L24-L23)/L23</f>
        <v>-0.0002803156786</v>
      </c>
      <c r="Z24" s="4">
        <f t="shared" si="71"/>
        <v>-0.005144365012</v>
      </c>
      <c r="AA24" s="6"/>
      <c r="AB24" s="6"/>
      <c r="AC24" s="6"/>
      <c r="AD24" s="6"/>
      <c r="AE24" s="6"/>
      <c r="AF24" s="6"/>
      <c r="AG24" s="19"/>
      <c r="AH24" s="19"/>
      <c r="AI24" s="19"/>
      <c r="AJ24" s="19"/>
      <c r="AK24" s="19"/>
      <c r="AL24" s="19"/>
      <c r="AM24" s="19"/>
      <c r="AN24" s="19"/>
      <c r="AO24" s="19"/>
    </row>
    <row r="25" ht="14.25" customHeight="1">
      <c r="A25" s="12">
        <v>45239.0</v>
      </c>
      <c r="B25" s="13">
        <v>2611.6</v>
      </c>
      <c r="C25" s="13">
        <v>15.27</v>
      </c>
      <c r="D25" s="13">
        <v>11285.5</v>
      </c>
      <c r="E25" s="4">
        <f t="shared" ref="E25:G25" si="72">LN(B25/B24)</f>
        <v>-0.001224552426</v>
      </c>
      <c r="F25" s="4">
        <f t="shared" si="72"/>
        <v>0.009871748479</v>
      </c>
      <c r="G25" s="4">
        <f t="shared" si="72"/>
        <v>-0.0007971656755</v>
      </c>
      <c r="H25" s="4">
        <f t="shared" si="2"/>
        <v>4591.0821</v>
      </c>
      <c r="I25" s="4">
        <f t="shared" si="6"/>
        <v>-0.0008657607973</v>
      </c>
      <c r="J25" s="4">
        <f t="shared" si="7"/>
        <v>-0.0008356131403</v>
      </c>
      <c r="K25" s="4">
        <f t="shared" si="8"/>
        <v>0.0000000009088812228</v>
      </c>
      <c r="L25" s="14">
        <v>3239.92</v>
      </c>
      <c r="M25" s="4">
        <f t="shared" si="3"/>
        <v>9297.504889</v>
      </c>
      <c r="N25" s="4"/>
      <c r="O25" s="4"/>
      <c r="P25" s="4"/>
      <c r="Q25" s="4">
        <f t="shared" ref="Q25:S25" si="73">IF(E24=0,0,(E25-E24)/E24)</f>
        <v>-0.8253688913</v>
      </c>
      <c r="R25" s="4">
        <f t="shared" si="73"/>
        <v>3.970423725</v>
      </c>
      <c r="S25" s="4">
        <f t="shared" si="73"/>
        <v>-0.8416440722</v>
      </c>
      <c r="T25" s="15">
        <v>3239.92</v>
      </c>
      <c r="U25" s="4"/>
      <c r="V25" s="4"/>
      <c r="W25" s="4"/>
      <c r="X25" s="4"/>
      <c r="Y25" s="4">
        <f t="shared" ref="Y25:Z25" si="74">(L25-L24)/L24</f>
        <v>-0.001697771944</v>
      </c>
      <c r="Z25" s="4">
        <f t="shared" si="74"/>
        <v>-0.0008234269911</v>
      </c>
      <c r="AA25" s="6"/>
      <c r="AB25" s="6"/>
      <c r="AC25" s="6"/>
      <c r="AD25" s="6"/>
      <c r="AE25" s="6"/>
      <c r="AF25" s="6"/>
      <c r="AG25" s="19"/>
      <c r="AH25" s="19"/>
      <c r="AI25" s="19"/>
      <c r="AJ25" s="19"/>
      <c r="AK25" s="19"/>
      <c r="AL25" s="19"/>
      <c r="AM25" s="19"/>
      <c r="AN25" s="19"/>
      <c r="AO25" s="19"/>
    </row>
    <row r="26" ht="14.25" customHeight="1">
      <c r="A26" s="7">
        <v>45240.0</v>
      </c>
      <c r="B26" s="8">
        <v>2598.8</v>
      </c>
      <c r="C26" s="8">
        <v>15.24</v>
      </c>
      <c r="D26" s="8">
        <v>11179.0</v>
      </c>
      <c r="E26" s="4">
        <f t="shared" ref="E26:G26" si="75">LN(B26/B25)</f>
        <v>-0.004913260306</v>
      </c>
      <c r="F26" s="4">
        <f t="shared" si="75"/>
        <v>-0.001966568972</v>
      </c>
      <c r="G26" s="4">
        <f t="shared" si="75"/>
        <v>-0.009481697601</v>
      </c>
      <c r="H26" s="4">
        <f t="shared" si="2"/>
        <v>4551.7032</v>
      </c>
      <c r="I26" s="4">
        <f t="shared" si="6"/>
        <v>-0.008614255332</v>
      </c>
      <c r="J26" s="4">
        <f t="shared" si="7"/>
        <v>-0.008426272339</v>
      </c>
      <c r="K26" s="4">
        <f t="shared" si="8"/>
        <v>0.00000003533760551</v>
      </c>
      <c r="L26" s="9">
        <v>3242.06</v>
      </c>
      <c r="M26" s="4">
        <f t="shared" si="3"/>
        <v>9212.399258</v>
      </c>
      <c r="N26" s="4"/>
      <c r="O26" s="4"/>
      <c r="P26" s="4"/>
      <c r="Q26" s="4">
        <f t="shared" ref="Q26:S26" si="76">IF(E25=0,0,(E26-E25)/E25)</f>
        <v>3.012290696</v>
      </c>
      <c r="R26" s="4">
        <f t="shared" si="76"/>
        <v>-1.199211819</v>
      </c>
      <c r="S26" s="4">
        <f t="shared" si="76"/>
        <v>10.89426225</v>
      </c>
      <c r="T26" s="11">
        <v>3242.06</v>
      </c>
      <c r="U26" s="4"/>
      <c r="V26" s="4"/>
      <c r="W26" s="4"/>
      <c r="X26" s="4"/>
      <c r="Y26" s="4">
        <f t="shared" ref="Y26:Z26" si="77">(L26-L25)/L25</f>
        <v>0.0006605101361</v>
      </c>
      <c r="Z26" s="4">
        <f t="shared" si="77"/>
        <v>-0.009153598876</v>
      </c>
      <c r="AA26" s="6"/>
      <c r="AB26" s="6"/>
      <c r="AC26" s="6"/>
      <c r="AD26" s="6"/>
      <c r="AE26" s="6"/>
      <c r="AF26" s="6"/>
      <c r="AG26" s="19"/>
      <c r="AH26" s="19"/>
      <c r="AI26" s="19"/>
      <c r="AJ26" s="19"/>
      <c r="AK26" s="19"/>
      <c r="AL26" s="19"/>
      <c r="AM26" s="19"/>
      <c r="AN26" s="19"/>
      <c r="AO26" s="19"/>
    </row>
    <row r="27" ht="14.25" customHeight="1">
      <c r="A27" s="12">
        <v>45243.0</v>
      </c>
      <c r="B27" s="13">
        <v>2577.2</v>
      </c>
      <c r="C27" s="13">
        <v>15.43</v>
      </c>
      <c r="D27" s="13">
        <v>11256.0</v>
      </c>
      <c r="E27" s="4">
        <f t="shared" ref="E27:G27" si="78">LN(B27/B26)</f>
        <v>-0.008346261742</v>
      </c>
      <c r="F27" s="4">
        <f t="shared" si="78"/>
        <v>0.01239011612</v>
      </c>
      <c r="G27" s="4">
        <f t="shared" si="78"/>
        <v>0.006864301524</v>
      </c>
      <c r="H27" s="4">
        <f t="shared" si="2"/>
        <v>4570.0479</v>
      </c>
      <c r="I27" s="4">
        <f t="shared" si="6"/>
        <v>0.004022193662</v>
      </c>
      <c r="J27" s="4">
        <f t="shared" si="7"/>
        <v>0.003512224531</v>
      </c>
      <c r="K27" s="4">
        <f t="shared" si="8"/>
        <v>0.0000002600685149</v>
      </c>
      <c r="L27" s="14">
        <v>3248.27</v>
      </c>
      <c r="M27" s="4">
        <f t="shared" si="3"/>
        <v>9267.072844</v>
      </c>
      <c r="N27" s="4"/>
      <c r="O27" s="4"/>
      <c r="P27" s="4"/>
      <c r="Q27" s="4">
        <f t="shared" ref="Q27:S27" si="79">IF(E26=0,0,(E27-E26)/E26)</f>
        <v>0.6987216679</v>
      </c>
      <c r="R27" s="4">
        <f t="shared" si="79"/>
        <v>-7.300372015</v>
      </c>
      <c r="S27" s="4">
        <f t="shared" si="79"/>
        <v>-1.7239528</v>
      </c>
      <c r="T27" s="15">
        <v>3248.27</v>
      </c>
      <c r="U27" s="4"/>
      <c r="V27" s="4"/>
      <c r="W27" s="4"/>
      <c r="X27" s="4"/>
      <c r="Y27" s="4">
        <f t="shared" ref="Y27:Z27" si="80">(L27-L26)/L26</f>
        <v>0.00191544882</v>
      </c>
      <c r="Z27" s="4">
        <f t="shared" si="80"/>
        <v>0.005934782432</v>
      </c>
      <c r="AA27" s="6"/>
      <c r="AB27" s="6"/>
      <c r="AC27" s="6"/>
      <c r="AD27" s="6"/>
      <c r="AE27" s="6"/>
      <c r="AF27" s="6"/>
      <c r="AG27" s="19"/>
      <c r="AH27" s="19"/>
      <c r="AI27" s="19"/>
      <c r="AJ27" s="19"/>
      <c r="AK27" s="19"/>
      <c r="AL27" s="19"/>
      <c r="AM27" s="19"/>
      <c r="AN27" s="19"/>
      <c r="AO27" s="19"/>
    </row>
    <row r="28" ht="14.25" customHeight="1">
      <c r="A28" s="7">
        <v>45244.0</v>
      </c>
      <c r="B28" s="8">
        <v>2600.0</v>
      </c>
      <c r="C28" s="8">
        <v>15.56</v>
      </c>
      <c r="D28" s="8">
        <v>11308.5</v>
      </c>
      <c r="E28" s="4">
        <f t="shared" ref="E28:G28" si="81">LN(B28/B27)</f>
        <v>0.008807906745</v>
      </c>
      <c r="F28" s="4">
        <f t="shared" si="81"/>
        <v>0.008389852375</v>
      </c>
      <c r="G28" s="4">
        <f t="shared" si="81"/>
        <v>0.004653335526</v>
      </c>
      <c r="H28" s="4">
        <f t="shared" si="2"/>
        <v>4594.9398</v>
      </c>
      <c r="I28" s="4">
        <f t="shared" si="6"/>
        <v>0.005431968273</v>
      </c>
      <c r="J28" s="4">
        <f t="shared" si="7"/>
        <v>0.005596723878</v>
      </c>
      <c r="K28" s="4">
        <f t="shared" si="8"/>
        <v>0.00000002714440936</v>
      </c>
      <c r="L28" s="9">
        <v>3212.39</v>
      </c>
      <c r="M28" s="4">
        <f t="shared" si="3"/>
        <v>9312.692762</v>
      </c>
      <c r="N28" s="4"/>
      <c r="O28" s="4"/>
      <c r="P28" s="4"/>
      <c r="Q28" s="4">
        <f t="shared" ref="Q28:S28" si="82">IF(E27=0,0,(E28-E27)/E27)</f>
        <v>-2.055311589</v>
      </c>
      <c r="R28" s="4">
        <f t="shared" si="82"/>
        <v>-0.3228592617</v>
      </c>
      <c r="S28" s="4">
        <f t="shared" si="82"/>
        <v>-0.3220962818</v>
      </c>
      <c r="T28" s="11">
        <v>3212.39</v>
      </c>
      <c r="U28" s="4"/>
      <c r="V28" s="4"/>
      <c r="W28" s="4"/>
      <c r="X28" s="4"/>
      <c r="Y28" s="4">
        <f t="shared" ref="Y28:Z28" si="83">(L28-L27)/L27</f>
        <v>-0.01104587981</v>
      </c>
      <c r="Z28" s="4">
        <f t="shared" si="83"/>
        <v>0.004922797039</v>
      </c>
      <c r="AA28" s="6"/>
      <c r="AB28" s="6"/>
      <c r="AC28" s="6"/>
      <c r="AD28" s="6"/>
      <c r="AE28" s="6"/>
      <c r="AF28" s="6"/>
      <c r="AG28" s="19"/>
      <c r="AH28" s="19"/>
      <c r="AI28" s="19"/>
      <c r="AJ28" s="19"/>
      <c r="AK28" s="19"/>
      <c r="AL28" s="19"/>
      <c r="AM28" s="19"/>
      <c r="AN28" s="19"/>
      <c r="AO28" s="19"/>
    </row>
    <row r="29" ht="14.25" customHeight="1">
      <c r="A29" s="12">
        <v>45245.0</v>
      </c>
      <c r="B29" s="13">
        <v>2620.0</v>
      </c>
      <c r="C29" s="13">
        <v>15.64</v>
      </c>
      <c r="D29" s="13">
        <v>11263.0</v>
      </c>
      <c r="E29" s="4">
        <f t="shared" ref="E29:G29" si="84">LN(B29/B28)</f>
        <v>0.007662872746</v>
      </c>
      <c r="F29" s="4">
        <f t="shared" si="84"/>
        <v>0.005128216367</v>
      </c>
      <c r="G29" s="4">
        <f t="shared" si="84"/>
        <v>-0.004031638272</v>
      </c>
      <c r="H29" s="4">
        <f t="shared" si="2"/>
        <v>4586.5512</v>
      </c>
      <c r="I29" s="4">
        <f t="shared" si="6"/>
        <v>-0.001827285423</v>
      </c>
      <c r="J29" s="4">
        <f t="shared" si="7"/>
        <v>-0.001383336911</v>
      </c>
      <c r="K29" s="4">
        <f t="shared" si="8"/>
        <v>0.0000001970902813</v>
      </c>
      <c r="L29" s="14">
        <v>3215.11</v>
      </c>
      <c r="M29" s="4">
        <f t="shared" si="3"/>
        <v>9281.995337</v>
      </c>
      <c r="N29" s="4"/>
      <c r="O29" s="4"/>
      <c r="P29" s="4"/>
      <c r="Q29" s="4">
        <f t="shared" ref="Q29:S29" si="85">IF(E28=0,0,(E29-E28)/E28)</f>
        <v>-0.1300006951</v>
      </c>
      <c r="R29" s="4">
        <f t="shared" si="85"/>
        <v>-0.3887596423</v>
      </c>
      <c r="S29" s="4">
        <f t="shared" si="85"/>
        <v>-1.866397501</v>
      </c>
      <c r="T29" s="15">
        <v>3215.11</v>
      </c>
      <c r="U29" s="4"/>
      <c r="V29" s="4"/>
      <c r="W29" s="4"/>
      <c r="X29" s="4"/>
      <c r="Y29" s="4">
        <f t="shared" ref="Y29:Z29" si="86">(L29-L28)/L28</f>
        <v>0.0008467215998</v>
      </c>
      <c r="Z29" s="4">
        <f t="shared" si="86"/>
        <v>-0.003296299543</v>
      </c>
      <c r="AA29" s="6"/>
      <c r="AB29" s="6"/>
      <c r="AC29" s="6"/>
      <c r="AD29" s="6"/>
      <c r="AE29" s="6"/>
      <c r="AF29" s="6"/>
      <c r="AG29" s="19"/>
      <c r="AH29" s="19"/>
      <c r="AI29" s="19"/>
      <c r="AJ29" s="19"/>
      <c r="AK29" s="19"/>
      <c r="AL29" s="19"/>
      <c r="AM29" s="19"/>
      <c r="AN29" s="19"/>
      <c r="AO29" s="19"/>
    </row>
    <row r="30" ht="14.25" customHeight="1">
      <c r="A30" s="7">
        <v>45246.0</v>
      </c>
      <c r="B30" s="8">
        <v>2569.0</v>
      </c>
      <c r="C30" s="8">
        <v>15.73</v>
      </c>
      <c r="D30" s="8">
        <v>11207.0</v>
      </c>
      <c r="E30" s="4">
        <f t="shared" ref="E30:G30" si="87">LN(B30/B29)</f>
        <v>-0.01965759965</v>
      </c>
      <c r="F30" s="4">
        <f t="shared" si="87"/>
        <v>0.005737981953</v>
      </c>
      <c r="G30" s="4">
        <f t="shared" si="87"/>
        <v>-0.004984433996</v>
      </c>
      <c r="H30" s="4">
        <f t="shared" si="2"/>
        <v>4551.2709</v>
      </c>
      <c r="I30" s="4">
        <f t="shared" si="6"/>
        <v>-0.00772185646</v>
      </c>
      <c r="J30" s="4">
        <f t="shared" si="7"/>
        <v>-0.008189494866</v>
      </c>
      <c r="K30" s="4">
        <f t="shared" si="8"/>
        <v>0.0000002186856793</v>
      </c>
      <c r="L30" s="9">
        <v>3189.08</v>
      </c>
      <c r="M30" s="4">
        <f t="shared" si="3"/>
        <v>9227.404226</v>
      </c>
      <c r="N30" s="4"/>
      <c r="O30" s="4"/>
      <c r="P30" s="4"/>
      <c r="Q30" s="4">
        <f t="shared" ref="Q30:S30" si="88">IF(E29=0,0,(E30-E29)/E29)</f>
        <v>-3.565304201</v>
      </c>
      <c r="R30" s="4">
        <f t="shared" si="88"/>
        <v>0.1189040287</v>
      </c>
      <c r="S30" s="4">
        <f t="shared" si="88"/>
        <v>0.2363296653</v>
      </c>
      <c r="T30" s="11">
        <v>3189.08</v>
      </c>
      <c r="U30" s="4"/>
      <c r="V30" s="4"/>
      <c r="W30" s="4"/>
      <c r="X30" s="4"/>
      <c r="Y30" s="4">
        <f t="shared" ref="Y30:Z30" si="89">(L30-L29)/L29</f>
        <v>-0.008096146011</v>
      </c>
      <c r="Z30" s="4">
        <f t="shared" si="89"/>
        <v>-0.005881398289</v>
      </c>
      <c r="AA30" s="6"/>
      <c r="AB30" s="6"/>
      <c r="AC30" s="6"/>
      <c r="AD30" s="6"/>
      <c r="AE30" s="6"/>
      <c r="AF30" s="6"/>
      <c r="AG30" s="19"/>
      <c r="AH30" s="19"/>
      <c r="AI30" s="19"/>
      <c r="AJ30" s="19"/>
      <c r="AK30" s="19"/>
      <c r="AL30" s="19"/>
      <c r="AM30" s="19"/>
      <c r="AN30" s="19"/>
      <c r="AO30" s="19"/>
    </row>
    <row r="31" ht="14.25" customHeight="1">
      <c r="A31" s="12">
        <v>45247.0</v>
      </c>
      <c r="B31" s="13">
        <v>2572.0</v>
      </c>
      <c r="C31" s="13">
        <v>15.76</v>
      </c>
      <c r="D31" s="13">
        <v>11220.0</v>
      </c>
      <c r="E31" s="4">
        <f t="shared" ref="E31:G31" si="90">LN(B31/B30)</f>
        <v>0.001167088248</v>
      </c>
      <c r="F31" s="4">
        <f t="shared" si="90"/>
        <v>0.00190536736</v>
      </c>
      <c r="G31" s="4">
        <f t="shared" si="90"/>
        <v>0.001159317025</v>
      </c>
      <c r="H31" s="4">
        <f t="shared" si="2"/>
        <v>4556.5608</v>
      </c>
      <c r="I31" s="4">
        <f t="shared" si="6"/>
        <v>0.001161615798</v>
      </c>
      <c r="J31" s="4">
        <f t="shared" si="7"/>
        <v>0.001164999868</v>
      </c>
      <c r="K31" s="4">
        <f t="shared" si="8"/>
        <v>0</v>
      </c>
      <c r="L31" s="14">
        <v>3206.34</v>
      </c>
      <c r="M31" s="4">
        <f t="shared" si="3"/>
        <v>9238.112422</v>
      </c>
      <c r="N31" s="4"/>
      <c r="O31" s="4"/>
      <c r="P31" s="4"/>
      <c r="Q31" s="4">
        <f t="shared" ref="Q31:S31" si="91">IF(E30=0,0,(E31-E30)/E30)</f>
        <v>-1.059370842</v>
      </c>
      <c r="R31" s="4">
        <f t="shared" si="91"/>
        <v>-0.6679377218</v>
      </c>
      <c r="S31" s="4">
        <f t="shared" si="91"/>
        <v>-1.232587497</v>
      </c>
      <c r="T31" s="15">
        <v>3206.34</v>
      </c>
      <c r="U31" s="4"/>
      <c r="V31" s="4"/>
      <c r="W31" s="4"/>
      <c r="X31" s="4"/>
      <c r="Y31" s="4">
        <f t="shared" ref="Y31:Z31" si="92">(L31-L30)/L30</f>
        <v>0.005412219198</v>
      </c>
      <c r="Z31" s="4">
        <f t="shared" si="92"/>
        <v>0.001160477579</v>
      </c>
      <c r="AA31" s="6"/>
      <c r="AB31" s="6"/>
      <c r="AC31" s="6"/>
      <c r="AD31" s="6"/>
      <c r="AE31" s="6"/>
      <c r="AF31" s="6"/>
      <c r="AG31" s="19"/>
      <c r="AH31" s="19"/>
      <c r="AI31" s="19"/>
      <c r="AJ31" s="19"/>
      <c r="AK31" s="19"/>
      <c r="AL31" s="19"/>
      <c r="AM31" s="19"/>
      <c r="AN31" s="19"/>
      <c r="AO31" s="19"/>
    </row>
    <row r="32" ht="14.25" customHeight="1">
      <c r="A32" s="7">
        <v>45250.0</v>
      </c>
      <c r="B32" s="8">
        <v>2573.4</v>
      </c>
      <c r="C32" s="8">
        <v>15.79</v>
      </c>
      <c r="D32" s="8">
        <v>11209.0</v>
      </c>
      <c r="E32" s="4">
        <f t="shared" ref="E32:G32" si="93">LN(B32/B31)</f>
        <v>0.0005441753934</v>
      </c>
      <c r="F32" s="4">
        <f t="shared" si="93"/>
        <v>0.001901743838</v>
      </c>
      <c r="G32" s="4">
        <f t="shared" si="93"/>
        <v>-0.0009808730556</v>
      </c>
      <c r="H32" s="4">
        <f t="shared" si="2"/>
        <v>4553.4027</v>
      </c>
      <c r="I32" s="4">
        <f t="shared" si="6"/>
        <v>-0.000693328821</v>
      </c>
      <c r="J32" s="4">
        <f t="shared" si="7"/>
        <v>-0.0006265658086</v>
      </c>
      <c r="K32" s="4">
        <f t="shared" si="8"/>
        <v>0.000000004457299824</v>
      </c>
      <c r="L32" s="9">
        <v>3207.36</v>
      </c>
      <c r="M32" s="4">
        <f t="shared" si="3"/>
        <v>9229.927471</v>
      </c>
      <c r="N32" s="4"/>
      <c r="O32" s="4"/>
      <c r="P32" s="4"/>
      <c r="Q32" s="4">
        <f t="shared" ref="Q32:S32" si="94">IF(E31=0,0,(E32-E31)/E31)</f>
        <v>-0.5337324367</v>
      </c>
      <c r="R32" s="4">
        <f t="shared" si="94"/>
        <v>-0.001901744412</v>
      </c>
      <c r="S32" s="4">
        <f t="shared" si="94"/>
        <v>-1.846078367</v>
      </c>
      <c r="T32" s="11">
        <v>3207.36</v>
      </c>
      <c r="U32" s="4"/>
      <c r="V32" s="4"/>
      <c r="W32" s="4"/>
      <c r="X32" s="4"/>
      <c r="Y32" s="4">
        <f t="shared" ref="Y32:Z32" si="95">(L32-L31)/L31</f>
        <v>0.0003181197253</v>
      </c>
      <c r="Z32" s="4">
        <f t="shared" si="95"/>
        <v>-0.0008859981663</v>
      </c>
      <c r="AA32" s="6"/>
      <c r="AB32" s="6"/>
      <c r="AC32" s="6"/>
      <c r="AD32" s="6"/>
      <c r="AE32" s="6"/>
      <c r="AF32" s="6"/>
      <c r="AG32" s="19"/>
      <c r="AH32" s="19"/>
      <c r="AI32" s="19"/>
      <c r="AJ32" s="19"/>
      <c r="AK32" s="19"/>
      <c r="AL32" s="19"/>
      <c r="AM32" s="19"/>
      <c r="AN32" s="19"/>
      <c r="AO32" s="19"/>
    </row>
    <row r="33" ht="14.25" customHeight="1">
      <c r="A33" s="12">
        <v>45251.0</v>
      </c>
      <c r="B33" s="13">
        <v>2572.6</v>
      </c>
      <c r="C33" s="13">
        <v>15.83</v>
      </c>
      <c r="D33" s="13">
        <v>11338.5</v>
      </c>
      <c r="E33" s="4">
        <f t="shared" ref="E33:G33" si="96">LN(B33/B32)</f>
        <v>-0.0003109211063</v>
      </c>
      <c r="F33" s="4">
        <f t="shared" si="96"/>
        <v>0.002530045625</v>
      </c>
      <c r="G33" s="4">
        <f t="shared" si="96"/>
        <v>0.01148698738</v>
      </c>
      <c r="H33" s="4">
        <f t="shared" si="2"/>
        <v>4595.8869</v>
      </c>
      <c r="I33" s="4">
        <f t="shared" si="6"/>
        <v>0.00928695171</v>
      </c>
      <c r="J33" s="4">
        <f t="shared" si="7"/>
        <v>0.008816776088</v>
      </c>
      <c r="K33" s="4">
        <f t="shared" si="8"/>
        <v>0.0000002210651152</v>
      </c>
      <c r="L33" s="14">
        <v>3218.48</v>
      </c>
      <c r="M33" s="4">
        <f t="shared" si="3"/>
        <v>9329.774882</v>
      </c>
      <c r="N33" s="4"/>
      <c r="O33" s="4"/>
      <c r="P33" s="4"/>
      <c r="Q33" s="4">
        <f t="shared" ref="Q33:S33" si="97">IF(E32=0,0,(E33-E32)/E32)</f>
        <v>-1.571361936</v>
      </c>
      <c r="R33" s="4">
        <f t="shared" si="97"/>
        <v>0.3303819237</v>
      </c>
      <c r="S33" s="4">
        <f t="shared" si="97"/>
        <v>-12.71098269</v>
      </c>
      <c r="T33" s="15">
        <v>3218.48</v>
      </c>
      <c r="U33" s="4"/>
      <c r="V33" s="4"/>
      <c r="W33" s="4"/>
      <c r="X33" s="4"/>
      <c r="Y33" s="4">
        <f t="shared" ref="Y33:Z33" si="98">(L33-L32)/L32</f>
        <v>0.003467025841</v>
      </c>
      <c r="Z33" s="4">
        <f t="shared" si="98"/>
        <v>0.01081778935</v>
      </c>
      <c r="AA33" s="6"/>
      <c r="AB33" s="6"/>
      <c r="AC33" s="6"/>
      <c r="AD33" s="6"/>
      <c r="AE33" s="6"/>
      <c r="AF33" s="6"/>
      <c r="AG33" s="19"/>
      <c r="AH33" s="19"/>
      <c r="AI33" s="19"/>
      <c r="AJ33" s="19"/>
      <c r="AK33" s="19"/>
      <c r="AL33" s="19"/>
      <c r="AM33" s="19"/>
      <c r="AN33" s="19"/>
      <c r="AO33" s="19"/>
    </row>
    <row r="34" ht="14.25" customHeight="1">
      <c r="A34" s="7">
        <v>45252.0</v>
      </c>
      <c r="B34" s="8">
        <v>2573.4</v>
      </c>
      <c r="C34" s="8">
        <v>15.83</v>
      </c>
      <c r="D34" s="8">
        <v>11313.0</v>
      </c>
      <c r="E34" s="4">
        <f t="shared" ref="E34:G34" si="99">LN(B34/B33)</f>
        <v>0.0003109211063</v>
      </c>
      <c r="F34" s="4">
        <f t="shared" si="99"/>
        <v>0</v>
      </c>
      <c r="G34" s="4">
        <f t="shared" si="99"/>
        <v>-0.002251507474</v>
      </c>
      <c r="H34" s="4">
        <f t="shared" si="2"/>
        <v>4587.7359</v>
      </c>
      <c r="I34" s="4">
        <f t="shared" si="6"/>
        <v>-0.001775116927</v>
      </c>
      <c r="J34" s="4">
        <f t="shared" si="7"/>
        <v>-0.001669932121</v>
      </c>
      <c r="K34" s="4">
        <f t="shared" si="8"/>
        <v>0.00000001106384329</v>
      </c>
      <c r="L34" s="9">
        <v>3230.65</v>
      </c>
      <c r="M34" s="4">
        <f t="shared" si="3"/>
        <v>9310.256675</v>
      </c>
      <c r="N34" s="4"/>
      <c r="O34" s="4"/>
      <c r="P34" s="4"/>
      <c r="Q34" s="4">
        <f t="shared" ref="Q34:S34" si="100">IF(E33=0,0,(E34-E33)/E33)</f>
        <v>-2</v>
      </c>
      <c r="R34" s="4">
        <f t="shared" si="100"/>
        <v>-1</v>
      </c>
      <c r="S34" s="4">
        <f t="shared" si="100"/>
        <v>-1.196005045</v>
      </c>
      <c r="T34" s="11">
        <v>3230.65</v>
      </c>
      <c r="U34" s="4"/>
      <c r="V34" s="4"/>
      <c r="W34" s="4"/>
      <c r="X34" s="4"/>
      <c r="Y34" s="4">
        <f t="shared" ref="Y34:Z34" si="101">(L34-L33)/L33</f>
        <v>0.003781288061</v>
      </c>
      <c r="Z34" s="4">
        <f t="shared" si="101"/>
        <v>-0.002092034125</v>
      </c>
      <c r="AA34" s="6"/>
      <c r="AB34" s="6"/>
      <c r="AC34" s="6"/>
      <c r="AD34" s="6"/>
      <c r="AE34" s="6"/>
      <c r="AF34" s="6"/>
      <c r="AG34" s="19"/>
      <c r="AH34" s="19"/>
      <c r="AI34" s="19"/>
      <c r="AJ34" s="19"/>
      <c r="AK34" s="19"/>
      <c r="AL34" s="19"/>
      <c r="AM34" s="19"/>
      <c r="AN34" s="19"/>
      <c r="AO34" s="19"/>
    </row>
    <row r="35" ht="14.25" customHeight="1">
      <c r="A35" s="12">
        <v>45253.0</v>
      </c>
      <c r="B35" s="13">
        <v>2559.2</v>
      </c>
      <c r="C35" s="13">
        <v>15.78</v>
      </c>
      <c r="D35" s="13">
        <v>11339.5</v>
      </c>
      <c r="E35" s="4">
        <f t="shared" ref="E35:G35" si="102">LN(B35/B34)</f>
        <v>-0.005533272116</v>
      </c>
      <c r="F35" s="4">
        <f t="shared" si="102"/>
        <v>-0.003163558475</v>
      </c>
      <c r="G35" s="4">
        <f t="shared" si="102"/>
        <v>0.002339698672</v>
      </c>
      <c r="H35" s="4">
        <f t="shared" si="2"/>
        <v>4591.7784</v>
      </c>
      <c r="I35" s="4">
        <f t="shared" si="6"/>
        <v>0.0008807656112</v>
      </c>
      <c r="J35" s="4">
        <f t="shared" si="7"/>
        <v>0.0005603277617</v>
      </c>
      <c r="K35" s="4">
        <f t="shared" si="8"/>
        <v>0.0000001026804153</v>
      </c>
      <c r="L35" s="14">
        <v>3221.05</v>
      </c>
      <c r="M35" s="4">
        <f t="shared" si="3"/>
        <v>9327.568134</v>
      </c>
      <c r="N35" s="4"/>
      <c r="O35" s="4"/>
      <c r="P35" s="4"/>
      <c r="Q35" s="4">
        <f t="shared" ref="Q35:S35" si="103">IF(E34=0,0,(E35-E34)/E34)</f>
        <v>-18.7963863</v>
      </c>
      <c r="R35" s="4">
        <f t="shared" si="103"/>
        <v>0</v>
      </c>
      <c r="S35" s="4">
        <f t="shared" si="103"/>
        <v>-2.039169845</v>
      </c>
      <c r="T35" s="15">
        <v>3221.05</v>
      </c>
      <c r="U35" s="4"/>
      <c r="V35" s="4"/>
      <c r="W35" s="4"/>
      <c r="X35" s="4"/>
      <c r="Y35" s="4">
        <f t="shared" ref="Y35:Z35" si="104">(L35-L34)/L34</f>
        <v>-0.002971538235</v>
      </c>
      <c r="Z35" s="4">
        <f t="shared" si="104"/>
        <v>0.001859396609</v>
      </c>
      <c r="AA35" s="6"/>
      <c r="AB35" s="6"/>
      <c r="AC35" s="6"/>
      <c r="AD35" s="6"/>
      <c r="AE35" s="6"/>
      <c r="AF35" s="6"/>
      <c r="AG35" s="19"/>
      <c r="AH35" s="19"/>
      <c r="AI35" s="19"/>
      <c r="AJ35" s="19"/>
      <c r="AK35" s="19"/>
      <c r="AL35" s="19"/>
      <c r="AM35" s="19"/>
      <c r="AN35" s="19"/>
      <c r="AO35" s="19"/>
    </row>
    <row r="36" ht="14.25" customHeight="1">
      <c r="A36" s="7">
        <v>45254.0</v>
      </c>
      <c r="B36" s="8">
        <v>2594.6</v>
      </c>
      <c r="C36" s="8">
        <v>15.17</v>
      </c>
      <c r="D36" s="8">
        <v>11205.0</v>
      </c>
      <c r="E36" s="4">
        <f t="shared" ref="E36:G36" si="105">LN(B36/B35)</f>
        <v>0.0137376525</v>
      </c>
      <c r="F36" s="4">
        <f t="shared" si="105"/>
        <v>-0.03942352206</v>
      </c>
      <c r="G36" s="4">
        <f t="shared" si="105"/>
        <v>-0.01193209836</v>
      </c>
      <c r="H36" s="4">
        <f t="shared" si="2"/>
        <v>4558.8741</v>
      </c>
      <c r="I36" s="4">
        <f t="shared" si="6"/>
        <v>-0.007191714868</v>
      </c>
      <c r="J36" s="4">
        <f t="shared" si="7"/>
        <v>-0.006371352714</v>
      </c>
      <c r="K36" s="4">
        <f t="shared" si="8"/>
        <v>0.000000672994065</v>
      </c>
      <c r="L36" s="9">
        <v>3217.76</v>
      </c>
      <c r="M36" s="4">
        <f t="shared" si="3"/>
        <v>9231.547457</v>
      </c>
      <c r="N36" s="4"/>
      <c r="O36" s="4"/>
      <c r="P36" s="4"/>
      <c r="Q36" s="4">
        <f t="shared" ref="Q36:S36" si="106">IF(E35=0,0,(E36-E35)/E35)</f>
        <v>-3.482735751</v>
      </c>
      <c r="R36" s="4">
        <f t="shared" si="106"/>
        <v>11.46176493</v>
      </c>
      <c r="S36" s="4">
        <f t="shared" si="106"/>
        <v>-6.099844054</v>
      </c>
      <c r="T36" s="11">
        <v>3217.76</v>
      </c>
      <c r="U36" s="4"/>
      <c r="V36" s="4"/>
      <c r="W36" s="4"/>
      <c r="X36" s="4"/>
      <c r="Y36" s="4">
        <f t="shared" ref="Y36:Z36" si="107">(L36-L35)/L35</f>
        <v>-0.001021406063</v>
      </c>
      <c r="Z36" s="4">
        <f t="shared" si="107"/>
        <v>-0.01029428847</v>
      </c>
      <c r="AA36" s="6"/>
      <c r="AB36" s="6"/>
      <c r="AC36" s="6"/>
      <c r="AD36" s="6"/>
      <c r="AE36" s="6"/>
      <c r="AF36" s="6"/>
      <c r="AG36" s="19"/>
      <c r="AH36" s="19"/>
      <c r="AI36" s="19"/>
      <c r="AJ36" s="19"/>
      <c r="AK36" s="19"/>
      <c r="AL36" s="19"/>
      <c r="AM36" s="19"/>
      <c r="AN36" s="19"/>
      <c r="AO36" s="19"/>
    </row>
    <row r="37" ht="14.25" customHeight="1">
      <c r="A37" s="12">
        <v>45257.0</v>
      </c>
      <c r="B37" s="13">
        <v>2593.2</v>
      </c>
      <c r="C37" s="13">
        <v>15.25</v>
      </c>
      <c r="D37" s="13">
        <v>11001.5</v>
      </c>
      <c r="E37" s="4">
        <f t="shared" ref="E37:G37" si="108">LN(B37/B36)</f>
        <v>-0.0005397278361</v>
      </c>
      <c r="F37" s="4">
        <f t="shared" si="108"/>
        <v>0.005259709693</v>
      </c>
      <c r="G37" s="4">
        <f t="shared" si="108"/>
        <v>-0.01832848011</v>
      </c>
      <c r="H37" s="4">
        <f t="shared" si="2"/>
        <v>4491.2835</v>
      </c>
      <c r="I37" s="4">
        <f t="shared" si="6"/>
        <v>-0.01493716678</v>
      </c>
      <c r="J37" s="4">
        <f t="shared" si="7"/>
        <v>-0.01424890968</v>
      </c>
      <c r="K37" s="4">
        <f t="shared" si="8"/>
        <v>0.0000004736978399</v>
      </c>
      <c r="L37" s="14">
        <v>3191.05</v>
      </c>
      <c r="M37" s="4">
        <f t="shared" si="3"/>
        <v>9074.054446</v>
      </c>
      <c r="N37" s="4"/>
      <c r="O37" s="4"/>
      <c r="P37" s="4"/>
      <c r="Q37" s="4">
        <f t="shared" ref="Q37:S37" si="109">IF(E36=0,0,(E37-E36)/E36)</f>
        <v>-1.039288214</v>
      </c>
      <c r="R37" s="4">
        <f t="shared" si="109"/>
        <v>-1.13341552</v>
      </c>
      <c r="S37" s="4">
        <f t="shared" si="109"/>
        <v>0.5360651208</v>
      </c>
      <c r="T37" s="15">
        <v>3191.05</v>
      </c>
      <c r="U37" s="4"/>
      <c r="V37" s="4"/>
      <c r="W37" s="4"/>
      <c r="X37" s="4"/>
      <c r="Y37" s="4">
        <f t="shared" ref="Y37:Z37" si="110">(L37-L36)/L36</f>
        <v>-0.008300805529</v>
      </c>
      <c r="Z37" s="4">
        <f t="shared" si="110"/>
        <v>-0.01706030458</v>
      </c>
      <c r="AA37" s="6"/>
      <c r="AB37" s="6"/>
      <c r="AC37" s="6"/>
      <c r="AD37" s="6"/>
      <c r="AE37" s="6"/>
      <c r="AF37" s="6"/>
      <c r="AG37" s="19"/>
      <c r="AH37" s="19"/>
      <c r="AI37" s="19"/>
      <c r="AJ37" s="19"/>
      <c r="AK37" s="19"/>
      <c r="AL37" s="19"/>
      <c r="AM37" s="19"/>
      <c r="AN37" s="19"/>
      <c r="AO37" s="19"/>
    </row>
    <row r="38" ht="14.25" customHeight="1">
      <c r="A38" s="7">
        <v>45258.0</v>
      </c>
      <c r="B38" s="8">
        <v>2602.6</v>
      </c>
      <c r="C38" s="8">
        <v>15.31</v>
      </c>
      <c r="D38" s="8">
        <v>11195.0</v>
      </c>
      <c r="E38" s="4">
        <f t="shared" ref="E38:G38" si="111">LN(B38/B37)</f>
        <v>0.003618311042</v>
      </c>
      <c r="F38" s="4">
        <f t="shared" si="111"/>
        <v>0.003926706616</v>
      </c>
      <c r="G38" s="4">
        <f t="shared" si="111"/>
        <v>0.01743562291</v>
      </c>
      <c r="H38" s="4">
        <f t="shared" si="2"/>
        <v>4558.2603</v>
      </c>
      <c r="I38" s="4">
        <f t="shared" si="6"/>
        <v>0.01480251921</v>
      </c>
      <c r="J38" s="4">
        <f t="shared" si="7"/>
        <v>0.01429235689</v>
      </c>
      <c r="K38" s="4">
        <f t="shared" si="8"/>
        <v>0.000000260265588</v>
      </c>
      <c r="L38" s="9">
        <v>3196.36</v>
      </c>
      <c r="M38" s="4">
        <f t="shared" si="3"/>
        <v>9225.602692</v>
      </c>
      <c r="N38" s="4"/>
      <c r="O38" s="4"/>
      <c r="P38" s="4"/>
      <c r="Q38" s="4">
        <f t="shared" ref="Q38:S38" si="112">IF(E37=0,0,(E38-E37)/E37)</f>
        <v>-7.703954845</v>
      </c>
      <c r="R38" s="4">
        <f t="shared" si="112"/>
        <v>-0.2534366257</v>
      </c>
      <c r="S38" s="4">
        <f t="shared" si="112"/>
        <v>-1.951285802</v>
      </c>
      <c r="T38" s="11">
        <v>3196.36</v>
      </c>
      <c r="U38" s="4"/>
      <c r="V38" s="4"/>
      <c r="W38" s="4"/>
      <c r="X38" s="4"/>
      <c r="Y38" s="4">
        <f t="shared" ref="Y38:Z38" si="113">(L38-L37)/L37</f>
        <v>0.001664029081</v>
      </c>
      <c r="Z38" s="4">
        <f t="shared" si="113"/>
        <v>0.0167012714</v>
      </c>
      <c r="AA38" s="6"/>
      <c r="AB38" s="6"/>
      <c r="AC38" s="6"/>
      <c r="AD38" s="6"/>
      <c r="AE38" s="6"/>
      <c r="AF38" s="6"/>
      <c r="AG38" s="19"/>
      <c r="AH38" s="19"/>
      <c r="AI38" s="19"/>
      <c r="AJ38" s="19"/>
      <c r="AK38" s="19"/>
      <c r="AL38" s="19"/>
      <c r="AM38" s="19"/>
      <c r="AN38" s="19"/>
      <c r="AO38" s="19"/>
    </row>
    <row r="39" ht="14.25" customHeight="1">
      <c r="A39" s="12">
        <v>45259.0</v>
      </c>
      <c r="B39" s="13">
        <v>2574.0</v>
      </c>
      <c r="C39" s="13">
        <v>15.41</v>
      </c>
      <c r="D39" s="13">
        <v>11079.5</v>
      </c>
      <c r="E39" s="4">
        <f t="shared" ref="E39:G39" si="114">LN(B39/B38)</f>
        <v>-0.01104983619</v>
      </c>
      <c r="F39" s="4">
        <f t="shared" si="114"/>
        <v>0.006510439662</v>
      </c>
      <c r="G39" s="4">
        <f t="shared" si="114"/>
        <v>-0.0103706961</v>
      </c>
      <c r="H39" s="4">
        <f t="shared" si="2"/>
        <v>4510.7403</v>
      </c>
      <c r="I39" s="4">
        <f t="shared" si="6"/>
        <v>-0.01047975119</v>
      </c>
      <c r="J39" s="4">
        <f t="shared" si="7"/>
        <v>-0.01043217463</v>
      </c>
      <c r="K39" s="4">
        <f t="shared" si="8"/>
        <v>0.000000002263529329</v>
      </c>
      <c r="L39" s="14">
        <v>3173.52</v>
      </c>
      <c r="M39" s="4">
        <f t="shared" si="3"/>
        <v>9130.033796</v>
      </c>
      <c r="N39" s="4"/>
      <c r="O39" s="4"/>
      <c r="P39" s="4"/>
      <c r="Q39" s="4">
        <f t="shared" ref="Q39:S39" si="115">IF(E38=0,0,(E39-E38)/E38)</f>
        <v>-4.053865756</v>
      </c>
      <c r="R39" s="4">
        <f t="shared" si="115"/>
        <v>0.657989837</v>
      </c>
      <c r="S39" s="4">
        <f t="shared" si="115"/>
        <v>-1.594799289</v>
      </c>
      <c r="T39" s="15">
        <v>3173.52</v>
      </c>
      <c r="U39" s="4"/>
      <c r="V39" s="4"/>
      <c r="W39" s="4"/>
      <c r="X39" s="4"/>
      <c r="Y39" s="4">
        <f t="shared" ref="Y39:Z39" si="116">(L39-L38)/L38</f>
        <v>-0.007145628152</v>
      </c>
      <c r="Z39" s="4">
        <f t="shared" si="116"/>
        <v>-0.01035909508</v>
      </c>
      <c r="AA39" s="6"/>
      <c r="AB39" s="6"/>
      <c r="AC39" s="6"/>
      <c r="AD39" s="6"/>
      <c r="AE39" s="6"/>
      <c r="AF39" s="6"/>
      <c r="AG39" s="19"/>
      <c r="AH39" s="19"/>
      <c r="AI39" s="19"/>
      <c r="AJ39" s="19"/>
      <c r="AK39" s="19"/>
      <c r="AL39" s="19"/>
      <c r="AM39" s="19"/>
      <c r="AN39" s="19"/>
      <c r="AO39" s="19"/>
    </row>
    <row r="40" ht="14.25" customHeight="1">
      <c r="A40" s="7">
        <v>45260.0</v>
      </c>
      <c r="B40" s="8">
        <v>2523.4</v>
      </c>
      <c r="C40" s="8">
        <v>15.3</v>
      </c>
      <c r="D40" s="8">
        <v>10798.0</v>
      </c>
      <c r="E40" s="4">
        <f t="shared" ref="E40:G40" si="117">LN(B40/B39)</f>
        <v>-0.01985391066</v>
      </c>
      <c r="F40" s="4">
        <f t="shared" si="117"/>
        <v>-0.007163820934</v>
      </c>
      <c r="G40" s="4">
        <f t="shared" si="117"/>
        <v>-0.02573562215</v>
      </c>
      <c r="H40" s="4">
        <f t="shared" si="2"/>
        <v>4401.111</v>
      </c>
      <c r="I40" s="4">
        <f t="shared" si="6"/>
        <v>-0.02460427733</v>
      </c>
      <c r="J40" s="4">
        <f t="shared" si="7"/>
        <v>-0.0243296323</v>
      </c>
      <c r="K40" s="4">
        <f t="shared" si="8"/>
        <v>0.00000007542989385</v>
      </c>
      <c r="L40" s="9">
        <v>3165.79</v>
      </c>
      <c r="M40" s="4">
        <f t="shared" si="3"/>
        <v>8901.355666</v>
      </c>
      <c r="N40" s="4"/>
      <c r="O40" s="4"/>
      <c r="P40" s="4"/>
      <c r="Q40" s="4">
        <f t="shared" ref="Q40:S40" si="118">IF(E39=0,0,(E40-E39)/E39)</f>
        <v>0.7967606331</v>
      </c>
      <c r="R40" s="4">
        <f t="shared" si="118"/>
        <v>-2.100359009</v>
      </c>
      <c r="S40" s="4">
        <f t="shared" si="118"/>
        <v>1.481571333</v>
      </c>
      <c r="T40" s="11">
        <v>3165.79</v>
      </c>
      <c r="U40" s="4"/>
      <c r="V40" s="4"/>
      <c r="W40" s="4"/>
      <c r="X40" s="4"/>
      <c r="Y40" s="4">
        <f t="shared" ref="Y40:Z40" si="119">(L40-L39)/L39</f>
        <v>-0.002435781089</v>
      </c>
      <c r="Z40" s="4">
        <f t="shared" si="119"/>
        <v>-0.02504680005</v>
      </c>
      <c r="AA40" s="6"/>
      <c r="AB40" s="6"/>
      <c r="AC40" s="6"/>
      <c r="AD40" s="6"/>
      <c r="AE40" s="6"/>
      <c r="AF40" s="6"/>
      <c r="AG40" s="19"/>
      <c r="AH40" s="19"/>
      <c r="AI40" s="19"/>
      <c r="AJ40" s="19"/>
      <c r="AK40" s="19"/>
      <c r="AL40" s="19"/>
      <c r="AM40" s="19"/>
      <c r="AN40" s="19"/>
      <c r="AO40" s="19"/>
    </row>
    <row r="41" ht="14.25" customHeight="1">
      <c r="A41" s="12">
        <v>45261.0</v>
      </c>
      <c r="B41" s="13">
        <v>2420.6</v>
      </c>
      <c r="C41" s="13">
        <v>15.46</v>
      </c>
      <c r="D41" s="13">
        <v>10971.5</v>
      </c>
      <c r="E41" s="4">
        <f t="shared" ref="E41:G41" si="120">LN(B41/B40)</f>
        <v>-0.04159175519</v>
      </c>
      <c r="F41" s="4">
        <f t="shared" si="120"/>
        <v>0.01040321476</v>
      </c>
      <c r="G41" s="4">
        <f t="shared" si="120"/>
        <v>0.0159400697</v>
      </c>
      <c r="H41" s="4">
        <f t="shared" si="2"/>
        <v>4424.4948</v>
      </c>
      <c r="I41" s="4">
        <f t="shared" si="6"/>
        <v>0.005299093399</v>
      </c>
      <c r="J41" s="4">
        <f t="shared" si="7"/>
        <v>0.003121146845</v>
      </c>
      <c r="K41" s="4">
        <f t="shared" si="8"/>
        <v>0.000004743451193</v>
      </c>
      <c r="L41" s="14">
        <v>3142.29</v>
      </c>
      <c r="M41" s="4">
        <f t="shared" si="3"/>
        <v>9012.514023</v>
      </c>
      <c r="N41" s="4"/>
      <c r="O41" s="4"/>
      <c r="P41" s="4"/>
      <c r="Q41" s="4">
        <f t="shared" ref="Q41:S41" si="121">IF(E40=0,0,(E41-E40)/E40)</f>
        <v>1.094889813</v>
      </c>
      <c r="R41" s="4">
        <f t="shared" si="121"/>
        <v>-2.452187995</v>
      </c>
      <c r="S41" s="4">
        <f t="shared" si="121"/>
        <v>-1.619377671</v>
      </c>
      <c r="T41" s="15">
        <v>3142.29</v>
      </c>
      <c r="U41" s="4"/>
      <c r="V41" s="4"/>
      <c r="W41" s="4"/>
      <c r="X41" s="4"/>
      <c r="Y41" s="4">
        <f t="shared" ref="Y41:Z41" si="122">(L41-L40)/L40</f>
        <v>-0.00742310766</v>
      </c>
      <c r="Z41" s="4">
        <f t="shared" si="122"/>
        <v>0.01248780091</v>
      </c>
      <c r="AA41" s="6"/>
      <c r="AB41" s="6"/>
      <c r="AC41" s="6"/>
      <c r="AD41" s="6"/>
      <c r="AE41" s="6"/>
      <c r="AF41" s="6"/>
      <c r="AG41" s="19"/>
      <c r="AH41" s="19"/>
      <c r="AI41" s="19"/>
      <c r="AJ41" s="19"/>
      <c r="AK41" s="19"/>
      <c r="AL41" s="19"/>
      <c r="AM41" s="19"/>
      <c r="AN41" s="19"/>
      <c r="AO41" s="19"/>
    </row>
    <row r="42" ht="14.25" customHeight="1">
      <c r="A42" s="7">
        <v>45264.0</v>
      </c>
      <c r="B42" s="8">
        <v>2397.8</v>
      </c>
      <c r="C42" s="8">
        <v>15.41</v>
      </c>
      <c r="D42" s="8">
        <v>10710.0</v>
      </c>
      <c r="E42" s="4">
        <f t="shared" ref="E42:G42" si="123">LN(B42/B41)</f>
        <v>-0.009463793031</v>
      </c>
      <c r="F42" s="4">
        <f t="shared" si="123"/>
        <v>-0.003239393827</v>
      </c>
      <c r="G42" s="4">
        <f t="shared" si="123"/>
        <v>-0.02412311703</v>
      </c>
      <c r="H42" s="4">
        <f t="shared" si="2"/>
        <v>4330.6593</v>
      </c>
      <c r="I42" s="4">
        <f t="shared" si="6"/>
        <v>-0.02143630875</v>
      </c>
      <c r="J42" s="4">
        <f t="shared" si="7"/>
        <v>-0.0207535698</v>
      </c>
      <c r="K42" s="4">
        <f t="shared" si="8"/>
        <v>0.0000004661324748</v>
      </c>
      <c r="L42" s="9">
        <v>3114.41</v>
      </c>
      <c r="M42" s="4">
        <f t="shared" si="3"/>
        <v>8805.464151</v>
      </c>
      <c r="N42" s="4"/>
      <c r="O42" s="4"/>
      <c r="P42" s="4"/>
      <c r="Q42" s="4">
        <f t="shared" ref="Q42:S42" si="124">IF(E41=0,0,(E42-E41)/E41)</f>
        <v>-0.7724598785</v>
      </c>
      <c r="R42" s="4">
        <f t="shared" si="124"/>
        <v>-1.311383923</v>
      </c>
      <c r="S42" s="4">
        <f t="shared" si="124"/>
        <v>-2.513363335</v>
      </c>
      <c r="T42" s="11">
        <v>3114.41</v>
      </c>
      <c r="U42" s="4"/>
      <c r="V42" s="4"/>
      <c r="W42" s="4"/>
      <c r="X42" s="4"/>
      <c r="Y42" s="4">
        <f t="shared" ref="Y42:Z42" si="125">(L42-L41)/L41</f>
        <v>-0.008872510176</v>
      </c>
      <c r="Z42" s="4">
        <f t="shared" si="125"/>
        <v>-0.02297359776</v>
      </c>
      <c r="AA42" s="6"/>
      <c r="AB42" s="6"/>
      <c r="AC42" s="6"/>
      <c r="AD42" s="6"/>
      <c r="AE42" s="6"/>
      <c r="AF42" s="6"/>
      <c r="AG42" s="19"/>
      <c r="AH42" s="19"/>
      <c r="AI42" s="19"/>
      <c r="AJ42" s="19"/>
      <c r="AK42" s="19"/>
      <c r="AL42" s="19"/>
      <c r="AM42" s="19"/>
      <c r="AN42" s="19"/>
      <c r="AO42" s="19"/>
    </row>
    <row r="43" ht="14.25" customHeight="1">
      <c r="A43" s="12">
        <v>45265.0</v>
      </c>
      <c r="B43" s="13">
        <v>2418.6</v>
      </c>
      <c r="C43" s="13">
        <v>15.5</v>
      </c>
      <c r="D43" s="13">
        <v>10752.5</v>
      </c>
      <c r="E43" s="4">
        <f t="shared" ref="E43:G43" si="126">LN(B43/B42)</f>
        <v>0.008637210078</v>
      </c>
      <c r="F43" s="4">
        <f t="shared" si="126"/>
        <v>0.005823374593</v>
      </c>
      <c r="G43" s="4">
        <f t="shared" si="126"/>
        <v>0.003960401216</v>
      </c>
      <c r="H43" s="4">
        <f t="shared" si="2"/>
        <v>4351.578</v>
      </c>
      <c r="I43" s="4">
        <f t="shared" si="6"/>
        <v>0.004818744237</v>
      </c>
      <c r="J43" s="4">
        <f t="shared" si="7"/>
        <v>0.005009952414</v>
      </c>
      <c r="K43" s="4">
        <f t="shared" si="8"/>
        <v>0.00000003656056682</v>
      </c>
      <c r="L43" s="14">
        <v>3129.33</v>
      </c>
      <c r="M43" s="4">
        <f t="shared" si="3"/>
        <v>8842.915308</v>
      </c>
      <c r="N43" s="4"/>
      <c r="O43" s="4"/>
      <c r="P43" s="4"/>
      <c r="Q43" s="4">
        <f t="shared" ref="Q43:S43" si="127">IF(E42=0,0,(E43-E42)/E42)</f>
        <v>-1.912658386</v>
      </c>
      <c r="R43" s="4">
        <f t="shared" si="127"/>
        <v>-2.797674165</v>
      </c>
      <c r="S43" s="4">
        <f t="shared" si="127"/>
        <v>-1.164174522</v>
      </c>
      <c r="T43" s="15">
        <v>3129.33</v>
      </c>
      <c r="U43" s="4"/>
      <c r="V43" s="4"/>
      <c r="W43" s="4"/>
      <c r="X43" s="4"/>
      <c r="Y43" s="4">
        <f t="shared" ref="Y43:Z43" si="128">(L43-L42)/L42</f>
        <v>0.004790634502</v>
      </c>
      <c r="Z43" s="4">
        <f t="shared" si="128"/>
        <v>0.004253172356</v>
      </c>
      <c r="AA43" s="6"/>
      <c r="AB43" s="6"/>
      <c r="AC43" s="6"/>
      <c r="AD43" s="6"/>
      <c r="AE43" s="6"/>
      <c r="AF43" s="6"/>
      <c r="AG43" s="19"/>
      <c r="AH43" s="19"/>
      <c r="AI43" s="19"/>
      <c r="AJ43" s="19"/>
      <c r="AK43" s="19"/>
      <c r="AL43" s="19"/>
      <c r="AM43" s="19"/>
      <c r="AN43" s="19"/>
      <c r="AO43" s="19"/>
    </row>
    <row r="44" ht="14.25" customHeight="1">
      <c r="A44" s="7">
        <v>45266.0</v>
      </c>
      <c r="B44" s="8">
        <v>2320.6</v>
      </c>
      <c r="C44" s="8">
        <v>15.59</v>
      </c>
      <c r="D44" s="8">
        <v>10551.5</v>
      </c>
      <c r="E44" s="4">
        <f t="shared" ref="E44:G44" si="129">LN(B44/B43)</f>
        <v>-0.04136308744</v>
      </c>
      <c r="F44" s="4">
        <f t="shared" si="129"/>
        <v>0.005789659144</v>
      </c>
      <c r="G44" s="4">
        <f t="shared" si="129"/>
        <v>-0.01887025577</v>
      </c>
      <c r="H44" s="4">
        <f t="shared" si="2"/>
        <v>4252.9377</v>
      </c>
      <c r="I44" s="4">
        <f t="shared" si="6"/>
        <v>-0.02292857026</v>
      </c>
      <c r="J44" s="4">
        <f t="shared" si="7"/>
        <v>-0.02373977036</v>
      </c>
      <c r="K44" s="4">
        <f t="shared" si="8"/>
        <v>0.0000006580456102</v>
      </c>
      <c r="L44" s="9">
        <v>3079.5</v>
      </c>
      <c r="M44" s="4">
        <f t="shared" si="3"/>
        <v>8665.878745</v>
      </c>
      <c r="N44" s="4"/>
      <c r="O44" s="4"/>
      <c r="P44" s="4"/>
      <c r="Q44" s="4">
        <f t="shared" ref="Q44:S44" si="130">IF(E43=0,0,(E44-E43)/E43)</f>
        <v>-5.788940765</v>
      </c>
      <c r="R44" s="4">
        <f t="shared" si="130"/>
        <v>-0.005789675411</v>
      </c>
      <c r="S44" s="4">
        <f t="shared" si="130"/>
        <v>-5.764733353</v>
      </c>
      <c r="T44" s="11">
        <v>3079.5</v>
      </c>
      <c r="U44" s="4"/>
      <c r="V44" s="4"/>
      <c r="W44" s="4"/>
      <c r="X44" s="4"/>
      <c r="Y44" s="4">
        <f t="shared" ref="Y44:Z44" si="131">(L44-L43)/L43</f>
        <v>-0.01592353635</v>
      </c>
      <c r="Z44" s="4">
        <f t="shared" si="131"/>
        <v>-0.0200201581</v>
      </c>
      <c r="AA44" s="6"/>
      <c r="AB44" s="6"/>
      <c r="AC44" s="6"/>
      <c r="AD44" s="6"/>
      <c r="AE44" s="6"/>
      <c r="AF44" s="6"/>
      <c r="AG44" s="19"/>
      <c r="AH44" s="19"/>
      <c r="AI44" s="19"/>
      <c r="AJ44" s="19"/>
      <c r="AK44" s="19"/>
      <c r="AL44" s="19"/>
      <c r="AM44" s="19"/>
      <c r="AN44" s="19"/>
      <c r="AO44" s="19"/>
    </row>
    <row r="45" ht="14.25" customHeight="1">
      <c r="A45" s="12">
        <v>45267.0</v>
      </c>
      <c r="B45" s="13">
        <v>2349.8</v>
      </c>
      <c r="C45" s="13">
        <v>15.5</v>
      </c>
      <c r="D45" s="13">
        <v>10602.0</v>
      </c>
      <c r="E45" s="4">
        <f t="shared" ref="E45:G45" si="132">LN(B45/B44)</f>
        <v>0.01250444522</v>
      </c>
      <c r="F45" s="4">
        <f t="shared" si="132"/>
        <v>-0.005789659144</v>
      </c>
      <c r="G45" s="4">
        <f t="shared" si="132"/>
        <v>0.004774632655</v>
      </c>
      <c r="H45" s="4">
        <f t="shared" si="2"/>
        <v>4279.209</v>
      </c>
      <c r="I45" s="4">
        <f t="shared" si="6"/>
        <v>0.006158211749</v>
      </c>
      <c r="J45" s="4">
        <f t="shared" si="7"/>
        <v>0.006436995008</v>
      </c>
      <c r="K45" s="4">
        <f t="shared" si="8"/>
        <v>0.00000007772010555</v>
      </c>
      <c r="L45" s="14">
        <v>3073.63</v>
      </c>
      <c r="M45" s="4">
        <f t="shared" si="3"/>
        <v>8711.375456</v>
      </c>
      <c r="N45" s="4"/>
      <c r="O45" s="4"/>
      <c r="P45" s="4"/>
      <c r="Q45" s="4">
        <f t="shared" ref="Q45:S45" si="133">IF(E44=0,0,(E45-E44)/E44)</f>
        <v>-1.302309281</v>
      </c>
      <c r="R45" s="4">
        <f t="shared" si="133"/>
        <v>-2</v>
      </c>
      <c r="S45" s="4">
        <f t="shared" si="133"/>
        <v>-1.253024268</v>
      </c>
      <c r="T45" s="15">
        <v>3073.63</v>
      </c>
      <c r="U45" s="4"/>
      <c r="V45" s="4"/>
      <c r="W45" s="4"/>
      <c r="X45" s="4"/>
      <c r="Y45" s="4">
        <f t="shared" ref="Y45:Z45" si="134">(L45-L44)/L44</f>
        <v>-0.001906153596</v>
      </c>
      <c r="Z45" s="4">
        <f t="shared" si="134"/>
        <v>0.005250097835</v>
      </c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</row>
    <row r="46" ht="14.25" customHeight="1">
      <c r="A46" s="7">
        <v>45268.0</v>
      </c>
      <c r="B46" s="8">
        <v>2337.6</v>
      </c>
      <c r="C46" s="8">
        <v>15.62</v>
      </c>
      <c r="D46" s="8">
        <v>10508.0</v>
      </c>
      <c r="E46" s="4">
        <f t="shared" ref="E46:G46" si="135">LN(B46/B45)</f>
        <v>-0.005205456137</v>
      </c>
      <c r="F46" s="4">
        <f t="shared" si="135"/>
        <v>0.007712120486</v>
      </c>
      <c r="G46" s="4">
        <f t="shared" si="135"/>
        <v>-0.008905790742</v>
      </c>
      <c r="H46" s="4">
        <f t="shared" si="2"/>
        <v>4244.2026</v>
      </c>
      <c r="I46" s="4">
        <f t="shared" si="6"/>
        <v>-0.008214221834</v>
      </c>
      <c r="J46" s="4">
        <f t="shared" si="7"/>
        <v>-0.007995088986</v>
      </c>
      <c r="K46" s="4">
        <f t="shared" si="8"/>
        <v>0.00000004801920525</v>
      </c>
      <c r="L46" s="9">
        <v>3079.99</v>
      </c>
      <c r="M46" s="4">
        <f t="shared" si="3"/>
        <v>8636.058931</v>
      </c>
      <c r="N46" s="4"/>
      <c r="O46" s="4"/>
      <c r="P46" s="4"/>
      <c r="Q46" s="4">
        <f t="shared" ref="Q46:S46" si="136">IF(E45=0,0,(E46-E45)/E45)</f>
        <v>-1.416288451</v>
      </c>
      <c r="R46" s="4">
        <f t="shared" si="136"/>
        <v>-2.332050868</v>
      </c>
      <c r="S46" s="4">
        <f t="shared" si="136"/>
        <v>-2.86523056</v>
      </c>
      <c r="T46" s="11">
        <v>3079.99</v>
      </c>
      <c r="U46" s="4"/>
      <c r="V46" s="4"/>
      <c r="W46" s="4"/>
      <c r="X46" s="4"/>
      <c r="Y46" s="4">
        <f t="shared" ref="Y46:Z46" si="137">(L46-L45)/L45</f>
        <v>0.002069214577</v>
      </c>
      <c r="Z46" s="4">
        <f t="shared" si="137"/>
        <v>-0.008645767366</v>
      </c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</row>
    <row r="47" ht="14.25" customHeight="1">
      <c r="A47" s="12">
        <v>45271.0</v>
      </c>
      <c r="B47" s="13">
        <v>2207.6</v>
      </c>
      <c r="C47" s="13">
        <v>15.77</v>
      </c>
      <c r="D47" s="13">
        <v>10050.5</v>
      </c>
      <c r="E47" s="4">
        <f t="shared" ref="E47:G47" si="138">LN(B47/B46)</f>
        <v>-0.05721880943</v>
      </c>
      <c r="F47" s="4">
        <f t="shared" si="138"/>
        <v>0.009557256563</v>
      </c>
      <c r="G47" s="4">
        <f t="shared" si="138"/>
        <v>-0.04451448731</v>
      </c>
      <c r="H47" s="4">
        <f t="shared" si="2"/>
        <v>4050.3771</v>
      </c>
      <c r="I47" s="4">
        <f t="shared" si="6"/>
        <v>-0.0467439697</v>
      </c>
      <c r="J47" s="4">
        <f t="shared" si="7"/>
        <v>-0.04705204469</v>
      </c>
      <c r="K47" s="4">
        <f t="shared" si="8"/>
        <v>0.0000000949101976</v>
      </c>
      <c r="L47" s="14">
        <v>3026.17</v>
      </c>
      <c r="M47" s="4">
        <f t="shared" si="3"/>
        <v>8253.789851</v>
      </c>
      <c r="N47" s="4"/>
      <c r="O47" s="4"/>
      <c r="P47" s="4"/>
      <c r="Q47" s="4">
        <f t="shared" ref="Q47:S47" si="139">IF(E46=0,0,(E47-E46)/E46)</f>
        <v>9.992083676</v>
      </c>
      <c r="R47" s="4">
        <f t="shared" si="139"/>
        <v>0.2392514588</v>
      </c>
      <c r="S47" s="4">
        <f t="shared" si="139"/>
        <v>3.998375619</v>
      </c>
      <c r="T47" s="15">
        <v>3026.17</v>
      </c>
      <c r="U47" s="4"/>
      <c r="V47" s="4"/>
      <c r="W47" s="4"/>
      <c r="X47" s="4"/>
      <c r="Y47" s="4">
        <f t="shared" ref="Y47:Z47" si="140">(L47-L46)/L46</f>
        <v>-0.01747408271</v>
      </c>
      <c r="Z47" s="4">
        <f t="shared" si="140"/>
        <v>-0.04426429725</v>
      </c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</row>
    <row r="48" ht="14.25" customHeight="1">
      <c r="A48" s="7">
        <v>45272.0</v>
      </c>
      <c r="B48" s="8">
        <v>2257.0</v>
      </c>
      <c r="C48" s="8">
        <v>15.96</v>
      </c>
      <c r="D48" s="8">
        <v>9976.0</v>
      </c>
      <c r="E48" s="4">
        <f t="shared" ref="E48:G48" si="141">LN(B48/B47)</f>
        <v>0.02213054525</v>
      </c>
      <c r="F48" s="4">
        <f t="shared" si="141"/>
        <v>0.01197619105</v>
      </c>
      <c r="G48" s="4">
        <f t="shared" si="141"/>
        <v>-0.007440176134</v>
      </c>
      <c r="H48" s="4">
        <f t="shared" si="2"/>
        <v>4042.1568</v>
      </c>
      <c r="I48" s="4">
        <f t="shared" si="6"/>
        <v>-0.002031576989</v>
      </c>
      <c r="J48" s="4">
        <f t="shared" si="7"/>
        <v>-0.0007635413833</v>
      </c>
      <c r="K48" s="4">
        <f t="shared" si="8"/>
        <v>0.000001607914298</v>
      </c>
      <c r="L48" s="9">
        <v>3019.89</v>
      </c>
      <c r="M48" s="4">
        <f t="shared" si="3"/>
        <v>8207.229324</v>
      </c>
      <c r="N48" s="4"/>
      <c r="O48" s="4"/>
      <c r="P48" s="4"/>
      <c r="Q48" s="4">
        <f t="shared" ref="Q48:S48" si="142">IF(E47=0,0,(E48-E47)/E47)</f>
        <v>-1.38677046</v>
      </c>
      <c r="R48" s="4">
        <f t="shared" si="142"/>
        <v>0.2530992516</v>
      </c>
      <c r="S48" s="4">
        <f t="shared" si="142"/>
        <v>-0.8328594446</v>
      </c>
      <c r="T48" s="11">
        <v>3019.89</v>
      </c>
      <c r="U48" s="4"/>
      <c r="V48" s="4"/>
      <c r="W48" s="4"/>
      <c r="X48" s="4"/>
      <c r="Y48" s="4">
        <f t="shared" ref="Y48:Z48" si="143">(L48-L47)/L47</f>
        <v>-0.002075230407</v>
      </c>
      <c r="Z48" s="4">
        <f t="shared" si="143"/>
        <v>-0.005641108903</v>
      </c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</row>
    <row r="49" ht="14.25" customHeight="1">
      <c r="A49" s="12">
        <v>45273.0</v>
      </c>
      <c r="B49" s="13">
        <v>2266.8</v>
      </c>
      <c r="C49" s="13">
        <v>16.15</v>
      </c>
      <c r="D49" s="13">
        <v>10061.0</v>
      </c>
      <c r="E49" s="4">
        <f t="shared" ref="E49:G49" si="144">LN(B49/B48)</f>
        <v>0.004332647478</v>
      </c>
      <c r="F49" s="4">
        <f t="shared" si="144"/>
        <v>0.01183445765</v>
      </c>
      <c r="G49" s="4">
        <f t="shared" si="144"/>
        <v>0.008484354932</v>
      </c>
      <c r="H49" s="4">
        <f t="shared" si="2"/>
        <v>4073.5035</v>
      </c>
      <c r="I49" s="4">
        <f t="shared" si="6"/>
        <v>0.007725029074</v>
      </c>
      <c r="J49" s="4">
        <f t="shared" si="7"/>
        <v>0.0075791737</v>
      </c>
      <c r="K49" s="4">
        <f t="shared" si="8"/>
        <v>0.00000002127379023</v>
      </c>
      <c r="L49" s="14">
        <v>3032.22</v>
      </c>
      <c r="M49" s="4">
        <f t="shared" si="3"/>
        <v>8275.062415</v>
      </c>
      <c r="N49" s="4"/>
      <c r="O49" s="4"/>
      <c r="P49" s="4"/>
      <c r="Q49" s="4">
        <f t="shared" ref="Q49:S49" si="145">IF(E48=0,0,(E49-E48)/E48)</f>
        <v>-0.8042231934</v>
      </c>
      <c r="R49" s="4">
        <f t="shared" si="145"/>
        <v>-0.01183459742</v>
      </c>
      <c r="S49" s="4">
        <f t="shared" si="145"/>
        <v>-2.14034329</v>
      </c>
      <c r="T49" s="15">
        <v>3032.22</v>
      </c>
      <c r="U49" s="4"/>
      <c r="V49" s="4"/>
      <c r="W49" s="4"/>
      <c r="X49" s="4"/>
      <c r="Y49" s="4">
        <f t="shared" ref="Y49:Z49" si="146">(L49-L48)/L48</f>
        <v>0.004082930173</v>
      </c>
      <c r="Z49" s="4">
        <f t="shared" si="146"/>
        <v>0.008265041579</v>
      </c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</row>
    <row r="50" ht="14.25" customHeight="1">
      <c r="A50" s="7">
        <v>45274.0</v>
      </c>
      <c r="B50" s="8">
        <v>2157.6</v>
      </c>
      <c r="C50" s="8">
        <v>16.37</v>
      </c>
      <c r="D50" s="8">
        <v>9885.0</v>
      </c>
      <c r="E50" s="4">
        <f t="shared" ref="E50:G50" si="147">LN(B50/B49)</f>
        <v>-0.04937265247</v>
      </c>
      <c r="F50" s="4">
        <f t="shared" si="147"/>
        <v>0.01353034171</v>
      </c>
      <c r="G50" s="4">
        <f t="shared" si="147"/>
        <v>-0.01764810669</v>
      </c>
      <c r="H50" s="4">
        <f t="shared" si="2"/>
        <v>3979.4601</v>
      </c>
      <c r="I50" s="4">
        <f t="shared" si="6"/>
        <v>-0.02335728315</v>
      </c>
      <c r="J50" s="4">
        <f t="shared" si="7"/>
        <v>-0.02453531175</v>
      </c>
      <c r="K50" s="4">
        <f t="shared" si="8"/>
        <v>0.000001387751385</v>
      </c>
      <c r="L50" s="9">
        <v>3008.84</v>
      </c>
      <c r="M50" s="4">
        <f t="shared" si="3"/>
        <v>8114.846588</v>
      </c>
      <c r="N50" s="4"/>
      <c r="O50" s="4"/>
      <c r="P50" s="4"/>
      <c r="Q50" s="4">
        <f t="shared" ref="Q50:S50" si="148">IF(E49=0,0,(E50-E49)/E49)</f>
        <v>-12.39549265</v>
      </c>
      <c r="R50" s="4">
        <f t="shared" si="148"/>
        <v>0.1433005312</v>
      </c>
      <c r="S50" s="4">
        <f t="shared" si="148"/>
        <v>-3.080076426</v>
      </c>
      <c r="T50" s="11">
        <v>3008.84</v>
      </c>
      <c r="U50" s="4"/>
      <c r="V50" s="4"/>
      <c r="W50" s="4"/>
      <c r="X50" s="4"/>
      <c r="Y50" s="4">
        <f t="shared" ref="Y50:Z50" si="149">(L50-L49)/L49</f>
        <v>-0.007710522324</v>
      </c>
      <c r="Z50" s="4">
        <f t="shared" si="149"/>
        <v>-0.01936128322</v>
      </c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</row>
    <row r="51" ht="14.25" customHeight="1">
      <c r="A51" s="12">
        <v>45275.0</v>
      </c>
      <c r="B51" s="13">
        <v>2224.4</v>
      </c>
      <c r="C51" s="13">
        <v>16.43</v>
      </c>
      <c r="D51" s="13">
        <v>10194.0</v>
      </c>
      <c r="E51" s="4">
        <f t="shared" ref="E51:G51" si="150">LN(B51/B50)</f>
        <v>0.03049072349</v>
      </c>
      <c r="F51" s="4">
        <f t="shared" si="150"/>
        <v>0.003658540666</v>
      </c>
      <c r="G51" s="4">
        <f t="shared" si="150"/>
        <v>0.0307808553</v>
      </c>
      <c r="H51" s="4">
        <f t="shared" si="2"/>
        <v>4103.4939</v>
      </c>
      <c r="I51" s="4">
        <f t="shared" si="6"/>
        <v>0.03069262472</v>
      </c>
      <c r="J51" s="4">
        <f t="shared" si="7"/>
        <v>0.03057256583</v>
      </c>
      <c r="K51" s="4">
        <f t="shared" si="8"/>
        <v>0.00000001441413767</v>
      </c>
      <c r="L51" s="14">
        <v>3033.89</v>
      </c>
      <c r="M51" s="4">
        <f t="shared" si="3"/>
        <v>8368.366622</v>
      </c>
      <c r="N51" s="4"/>
      <c r="O51" s="4"/>
      <c r="P51" s="4"/>
      <c r="Q51" s="4">
        <f t="shared" ref="Q51:S51" si="151">IF(E50=0,0,(E51-E50)/E50)</f>
        <v>-1.617563002</v>
      </c>
      <c r="R51" s="4">
        <f t="shared" si="151"/>
        <v>-0.7296047104</v>
      </c>
      <c r="S51" s="4">
        <f t="shared" si="151"/>
        <v>-2.744144901</v>
      </c>
      <c r="T51" s="15">
        <v>3033.89</v>
      </c>
      <c r="U51" s="4"/>
      <c r="V51" s="4"/>
      <c r="W51" s="4"/>
      <c r="X51" s="4"/>
      <c r="Y51" s="4">
        <f t="shared" ref="Y51:Z51" si="152">(L51-L50)/L50</f>
        <v>0.008325467622</v>
      </c>
      <c r="Z51" s="4">
        <f t="shared" si="152"/>
        <v>0.03124150665</v>
      </c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</row>
    <row r="52" ht="14.25" customHeight="1">
      <c r="A52" s="7">
        <v>45278.0</v>
      </c>
      <c r="B52" s="8">
        <v>2250.4</v>
      </c>
      <c r="C52" s="8">
        <v>16.55</v>
      </c>
      <c r="D52" s="8">
        <v>10242.5</v>
      </c>
      <c r="E52" s="4">
        <f t="shared" ref="E52:G52" si="153">LN(B52/B51)</f>
        <v>0.01162076186</v>
      </c>
      <c r="F52" s="4">
        <f t="shared" si="153"/>
        <v>0.007277169774</v>
      </c>
      <c r="G52" s="4">
        <f t="shared" si="153"/>
        <v>0.004746418521</v>
      </c>
      <c r="H52" s="4">
        <f t="shared" si="2"/>
        <v>4128.1185</v>
      </c>
      <c r="I52" s="4">
        <f t="shared" si="6"/>
        <v>0.005982952612</v>
      </c>
      <c r="J52" s="4">
        <f t="shared" si="7"/>
        <v>0.006288031249</v>
      </c>
      <c r="K52" s="4">
        <f t="shared" si="8"/>
        <v>0.00000009307297488</v>
      </c>
      <c r="L52" s="9">
        <v>3076.26</v>
      </c>
      <c r="M52" s="4">
        <f t="shared" si="3"/>
        <v>8411.608285</v>
      </c>
      <c r="N52" s="4"/>
      <c r="O52" s="4"/>
      <c r="P52" s="4"/>
      <c r="Q52" s="4">
        <f t="shared" ref="Q52:S52" si="154">IF(E51=0,0,(E52-E51)/E51)</f>
        <v>-0.6188754961</v>
      </c>
      <c r="R52" s="4">
        <f t="shared" si="154"/>
        <v>0.9890908529</v>
      </c>
      <c r="S52" s="4">
        <f t="shared" si="154"/>
        <v>-0.8457996545</v>
      </c>
      <c r="T52" s="11">
        <v>3076.26</v>
      </c>
      <c r="U52" s="4"/>
      <c r="V52" s="4"/>
      <c r="W52" s="4"/>
      <c r="X52" s="4"/>
      <c r="Y52" s="4">
        <f t="shared" ref="Y52:Z52" si="155">(L52-L51)/L51</f>
        <v>0.01396556896</v>
      </c>
      <c r="Z52" s="4">
        <f t="shared" si="155"/>
        <v>0.005167276323</v>
      </c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</row>
    <row r="53" ht="14.25" customHeight="1">
      <c r="A53" s="12">
        <v>45279.0</v>
      </c>
      <c r="B53" s="13">
        <v>2242.2</v>
      </c>
      <c r="C53" s="13">
        <v>16.55</v>
      </c>
      <c r="D53" s="13">
        <v>10403.5</v>
      </c>
      <c r="E53" s="4">
        <f t="shared" ref="E53:G53" si="156">LN(B53/B52)</f>
        <v>-0.003650451456</v>
      </c>
      <c r="F53" s="4">
        <f t="shared" si="156"/>
        <v>0</v>
      </c>
      <c r="G53" s="4">
        <f t="shared" si="156"/>
        <v>0.01559655755</v>
      </c>
      <c r="H53" s="4">
        <f t="shared" si="2"/>
        <v>4178.5425</v>
      </c>
      <c r="I53" s="4">
        <f t="shared" si="6"/>
        <v>0.01214076736</v>
      </c>
      <c r="J53" s="4">
        <f t="shared" si="7"/>
        <v>0.01123517898</v>
      </c>
      <c r="K53" s="4">
        <f t="shared" si="8"/>
        <v>0.0000008200903161</v>
      </c>
      <c r="L53" s="14">
        <v>3083.64</v>
      </c>
      <c r="M53" s="4">
        <f t="shared" si="3"/>
        <v>8534.140848</v>
      </c>
      <c r="N53" s="4"/>
      <c r="O53" s="4"/>
      <c r="P53" s="4"/>
      <c r="Q53" s="4">
        <f t="shared" ref="Q53:S53" si="157">IF(E52=0,0,(E53-E52)/E52)</f>
        <v>-1.314131853</v>
      </c>
      <c r="R53" s="4">
        <f t="shared" si="157"/>
        <v>-1</v>
      </c>
      <c r="S53" s="4">
        <f t="shared" si="157"/>
        <v>2.285963403</v>
      </c>
      <c r="T53" s="15">
        <v>3083.64</v>
      </c>
      <c r="U53" s="4"/>
      <c r="V53" s="4"/>
      <c r="W53" s="4"/>
      <c r="X53" s="4"/>
      <c r="Y53" s="4">
        <f t="shared" ref="Y53:Z53" si="158">(L53-L52)/L52</f>
        <v>0.002399016988</v>
      </c>
      <c r="Z53" s="4">
        <f t="shared" si="158"/>
        <v>0.01456707912</v>
      </c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</row>
    <row r="54" ht="14.25" customHeight="1">
      <c r="A54" s="7">
        <v>45280.0</v>
      </c>
      <c r="B54" s="8">
        <v>2288.8</v>
      </c>
      <c r="C54" s="8">
        <v>18.67</v>
      </c>
      <c r="D54" s="8">
        <v>10626.5</v>
      </c>
      <c r="E54" s="4">
        <f t="shared" ref="E54:G54" si="159">LN(B54/B53)</f>
        <v>0.02057013602</v>
      </c>
      <c r="F54" s="4">
        <f t="shared" si="159"/>
        <v>0.1205318557</v>
      </c>
      <c r="G54" s="4">
        <f t="shared" si="159"/>
        <v>0.02120859332</v>
      </c>
      <c r="H54" s="4">
        <f t="shared" si="2"/>
        <v>4268.2101</v>
      </c>
      <c r="I54" s="4">
        <f t="shared" si="6"/>
        <v>0.02123205751</v>
      </c>
      <c r="J54" s="4">
        <f t="shared" si="7"/>
        <v>0.02159323476</v>
      </c>
      <c r="K54" s="4">
        <f t="shared" si="8"/>
        <v>0.0000001304490048</v>
      </c>
      <c r="L54" s="9">
        <v>3104.66</v>
      </c>
      <c r="M54" s="4">
        <f t="shared" si="3"/>
        <v>8716.755361</v>
      </c>
      <c r="N54" s="4"/>
      <c r="O54" s="4"/>
      <c r="P54" s="4"/>
      <c r="Q54" s="4">
        <f t="shared" ref="Q54:S54" si="160">IF(E53=0,0,(E54-E53)/E53)</f>
        <v>-6.634956734</v>
      </c>
      <c r="R54" s="4">
        <f t="shared" si="160"/>
        <v>0</v>
      </c>
      <c r="S54" s="4">
        <f t="shared" si="160"/>
        <v>0.3598252852</v>
      </c>
      <c r="T54" s="11">
        <v>3104.66</v>
      </c>
      <c r="U54" s="4"/>
      <c r="V54" s="4"/>
      <c r="W54" s="4"/>
      <c r="X54" s="4"/>
      <c r="Y54" s="4">
        <f t="shared" ref="Y54:Z54" si="161">(L54-L53)/L53</f>
        <v>0.00681661932</v>
      </c>
      <c r="Z54" s="4">
        <f t="shared" si="161"/>
        <v>0.02139811326</v>
      </c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</row>
    <row r="55" ht="14.25" customHeight="1">
      <c r="A55" s="12">
        <v>45281.0</v>
      </c>
      <c r="B55" s="13">
        <v>2267.2</v>
      </c>
      <c r="C55" s="13">
        <v>18.65</v>
      </c>
      <c r="D55" s="13">
        <v>10593.5</v>
      </c>
      <c r="E55" s="4">
        <f t="shared" ref="E55:G55" si="162">LN(B55/B54)</f>
        <v>-0.009482072799</v>
      </c>
      <c r="F55" s="4">
        <f t="shared" si="162"/>
        <v>-0.001071811464</v>
      </c>
      <c r="G55" s="4">
        <f t="shared" si="162"/>
        <v>-0.003110275834</v>
      </c>
      <c r="H55" s="4">
        <f t="shared" si="2"/>
        <v>4250.1855</v>
      </c>
      <c r="I55" s="4">
        <f t="shared" si="6"/>
        <v>-0.004231929989</v>
      </c>
      <c r="J55" s="4">
        <f t="shared" si="7"/>
        <v>-0.004515946173</v>
      </c>
      <c r="K55" s="4">
        <f t="shared" si="8"/>
        <v>0.00000008066519259</v>
      </c>
      <c r="L55" s="14">
        <v>3073.57</v>
      </c>
      <c r="M55" s="4">
        <f t="shared" si="3"/>
        <v>8686.464476</v>
      </c>
      <c r="N55" s="4"/>
      <c r="O55" s="4"/>
      <c r="P55" s="4"/>
      <c r="Q55" s="4">
        <f t="shared" ref="Q55:S55" si="163">IF(E54=0,0,(E55-E54)/E54)</f>
        <v>-1.460963058</v>
      </c>
      <c r="R55" s="4">
        <f t="shared" si="163"/>
        <v>-1.00889235</v>
      </c>
      <c r="S55" s="4">
        <f t="shared" si="163"/>
        <v>-1.14665168</v>
      </c>
      <c r="T55" s="15">
        <v>3073.57</v>
      </c>
      <c r="U55" s="4"/>
      <c r="V55" s="4"/>
      <c r="W55" s="4"/>
      <c r="X55" s="4"/>
      <c r="Y55" s="4">
        <f t="shared" ref="Y55:Z55" si="164">(L55-L54)/L54</f>
        <v>-0.01001397899</v>
      </c>
      <c r="Z55" s="4">
        <f t="shared" si="164"/>
        <v>-0.00347501832</v>
      </c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</row>
    <row r="56" ht="14.25" customHeight="1">
      <c r="A56" s="7">
        <v>45282.0</v>
      </c>
      <c r="B56" s="8">
        <v>2295.8</v>
      </c>
      <c r="C56" s="8">
        <v>18.73</v>
      </c>
      <c r="D56" s="8">
        <v>10555.5</v>
      </c>
      <c r="E56" s="4">
        <f t="shared" ref="E56:G56" si="165">LN(B56/B55)</f>
        <v>0.01253577669</v>
      </c>
      <c r="F56" s="4">
        <f t="shared" si="165"/>
        <v>0.004280370366</v>
      </c>
      <c r="G56" s="4">
        <f t="shared" si="165"/>
        <v>-0.00359355439</v>
      </c>
      <c r="H56" s="4">
        <f t="shared" si="2"/>
        <v>4247.1099</v>
      </c>
      <c r="I56" s="4">
        <f t="shared" si="6"/>
        <v>-0.0007239009566</v>
      </c>
      <c r="J56" s="4">
        <f t="shared" si="7"/>
        <v>0.00003380877707</v>
      </c>
      <c r="K56" s="4">
        <f t="shared" si="8"/>
        <v>0.0000005741240405</v>
      </c>
      <c r="L56" s="9">
        <v>3092.58</v>
      </c>
      <c r="M56" s="4">
        <f t="shared" si="3"/>
        <v>8663.471824</v>
      </c>
      <c r="N56" s="4"/>
      <c r="O56" s="4"/>
      <c r="P56" s="4"/>
      <c r="Q56" s="4">
        <f t="shared" ref="Q56:S56" si="166">IF(E55=0,0,(E56-E55)/E55)</f>
        <v>-2.322050248</v>
      </c>
      <c r="R56" s="4">
        <f t="shared" si="166"/>
        <v>-4.993585169</v>
      </c>
      <c r="S56" s="4">
        <f t="shared" si="166"/>
        <v>0.1553812526</v>
      </c>
      <c r="T56" s="11">
        <v>3092.58</v>
      </c>
      <c r="U56" s="4"/>
      <c r="V56" s="4"/>
      <c r="W56" s="4"/>
      <c r="X56" s="4"/>
      <c r="Y56" s="4">
        <f t="shared" ref="Y56:Z56" si="167">(L56-L55)/L55</f>
        <v>0.006184990093</v>
      </c>
      <c r="Z56" s="4">
        <f t="shared" si="167"/>
        <v>-0.002646951746</v>
      </c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</row>
    <row r="57" ht="14.25" customHeight="1">
      <c r="A57" s="12">
        <v>45287.0</v>
      </c>
      <c r="B57" s="13">
        <v>2550.0</v>
      </c>
      <c r="C57" s="13">
        <v>18.75</v>
      </c>
      <c r="D57" s="13">
        <v>10670.0</v>
      </c>
      <c r="E57" s="4">
        <f t="shared" ref="E57:G57" si="168">LN(B57/B56)</f>
        <v>0.1050119925</v>
      </c>
      <c r="F57" s="4">
        <f t="shared" si="168"/>
        <v>0.00106723596</v>
      </c>
      <c r="G57" s="4">
        <f t="shared" si="168"/>
        <v>0.01078901422</v>
      </c>
      <c r="H57" s="4">
        <f t="shared" si="2"/>
        <v>4368.7875</v>
      </c>
      <c r="I57" s="4">
        <f t="shared" si="6"/>
        <v>0.02824678257</v>
      </c>
      <c r="J57" s="4">
        <f t="shared" si="7"/>
        <v>0.03168364073</v>
      </c>
      <c r="K57" s="4">
        <f t="shared" si="8"/>
        <v>0.000011811994</v>
      </c>
      <c r="L57" s="14">
        <v>3097.49</v>
      </c>
      <c r="M57" s="4">
        <f t="shared" si="3"/>
        <v>8808.420798</v>
      </c>
      <c r="N57" s="4"/>
      <c r="O57" s="4"/>
      <c r="P57" s="4"/>
      <c r="Q57" s="4">
        <f t="shared" ref="Q57:S57" si="169">IF(E56=0,0,(E57-E56)/E56)</f>
        <v>7.376983339</v>
      </c>
      <c r="R57" s="4">
        <f t="shared" si="169"/>
        <v>-0.7506673794</v>
      </c>
      <c r="S57" s="4">
        <f t="shared" si="169"/>
        <v>-4.002323898</v>
      </c>
      <c r="T57" s="15">
        <v>3097.49</v>
      </c>
      <c r="U57" s="4"/>
      <c r="V57" s="4"/>
      <c r="W57" s="4"/>
      <c r="X57" s="4"/>
      <c r="Y57" s="4">
        <f t="shared" ref="Y57:Z57" si="170">(L57-L56)/L56</f>
        <v>0.001587671135</v>
      </c>
      <c r="Z57" s="4">
        <f t="shared" si="170"/>
        <v>0.01673104928</v>
      </c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</row>
    <row r="58" ht="14.25" customHeight="1">
      <c r="A58" s="7">
        <v>45288.0</v>
      </c>
      <c r="B58" s="8">
        <v>2531.2</v>
      </c>
      <c r="C58" s="8">
        <v>18.63</v>
      </c>
      <c r="D58" s="8">
        <v>10619.5</v>
      </c>
      <c r="E58" s="4">
        <f t="shared" ref="E58:G58" si="171">LN(B58/B57)</f>
        <v>-0.007399860579</v>
      </c>
      <c r="F58" s="4">
        <f t="shared" si="171"/>
        <v>-0.006420567803</v>
      </c>
      <c r="G58" s="4">
        <f t="shared" si="171"/>
        <v>-0.004744131587</v>
      </c>
      <c r="H58" s="4">
        <f t="shared" si="2"/>
        <v>4345.8789</v>
      </c>
      <c r="I58" s="4">
        <f t="shared" si="6"/>
        <v>-0.005257493911</v>
      </c>
      <c r="J58" s="4">
        <f t="shared" si="7"/>
        <v>-0.005343399214</v>
      </c>
      <c r="K58" s="4">
        <f t="shared" si="8"/>
        <v>0.00000000737972097</v>
      </c>
      <c r="L58" s="9">
        <v>3101.99</v>
      </c>
      <c r="M58" s="4">
        <f t="shared" si="3"/>
        <v>8765.234937</v>
      </c>
      <c r="N58" s="4"/>
      <c r="O58" s="4"/>
      <c r="P58" s="4"/>
      <c r="Q58" s="4">
        <f t="shared" ref="Q58:S58" si="172">IF(E57=0,0,(E58-E57)/E57)</f>
        <v>-1.070466814</v>
      </c>
      <c r="R58" s="4">
        <f t="shared" si="172"/>
        <v>-7.01607146</v>
      </c>
      <c r="S58" s="4">
        <f t="shared" si="172"/>
        <v>-1.439718726</v>
      </c>
      <c r="T58" s="11">
        <v>3101.99</v>
      </c>
      <c r="U58" s="4"/>
      <c r="V58" s="4"/>
      <c r="W58" s="4"/>
      <c r="X58" s="4"/>
      <c r="Y58" s="4">
        <f t="shared" ref="Y58:Z58" si="173">(L58-L57)/L57</f>
        <v>0.001452789194</v>
      </c>
      <c r="Z58" s="4">
        <f t="shared" si="173"/>
        <v>-0.00490279262</v>
      </c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</row>
    <row r="59" ht="14.25" customHeight="1">
      <c r="A59" s="12">
        <v>45289.0</v>
      </c>
      <c r="B59" s="13">
        <v>2540.0</v>
      </c>
      <c r="C59" s="13">
        <v>18.67</v>
      </c>
      <c r="D59" s="13">
        <v>10674.5</v>
      </c>
      <c r="E59" s="4">
        <f t="shared" ref="E59:G59" si="174">LN(B59/B58)</f>
        <v>0.003470582439</v>
      </c>
      <c r="F59" s="4">
        <f t="shared" si="174"/>
        <v>0.00214477294</v>
      </c>
      <c r="G59" s="4">
        <f t="shared" si="174"/>
        <v>0.005165785884</v>
      </c>
      <c r="H59" s="4">
        <f t="shared" si="2"/>
        <v>4366.9461</v>
      </c>
      <c r="I59" s="4">
        <f t="shared" si="6"/>
        <v>0.004835915115</v>
      </c>
      <c r="J59" s="4">
        <f t="shared" si="7"/>
        <v>0.004772918738</v>
      </c>
      <c r="K59" s="4">
        <f t="shared" si="8"/>
        <v>0.000000003968543509</v>
      </c>
      <c r="L59" s="14">
        <v>3099.11</v>
      </c>
      <c r="M59" s="4">
        <f t="shared" si="3"/>
        <v>8809.673105</v>
      </c>
      <c r="N59" s="4"/>
      <c r="O59" s="4"/>
      <c r="P59" s="4"/>
      <c r="Q59" s="4">
        <f t="shared" ref="Q59:S59" si="175">IF(E58=0,0,(E59-E58)/E58)</f>
        <v>-1.469006463</v>
      </c>
      <c r="R59" s="4">
        <f t="shared" si="175"/>
        <v>-1.334047238</v>
      </c>
      <c r="S59" s="4">
        <f t="shared" si="175"/>
        <v>-2.088879132</v>
      </c>
      <c r="T59" s="15">
        <v>3099.11</v>
      </c>
      <c r="U59" s="4"/>
      <c r="V59" s="4"/>
      <c r="W59" s="4"/>
      <c r="X59" s="4"/>
      <c r="Y59" s="4">
        <f t="shared" ref="Y59:Z59" si="176">(L59-L58)/L58</f>
        <v>-0.0009284362619</v>
      </c>
      <c r="Z59" s="4">
        <f t="shared" si="176"/>
        <v>0.005069820483</v>
      </c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</row>
    <row r="60" ht="14.25" customHeight="1">
      <c r="A60" s="7">
        <v>45294.0</v>
      </c>
      <c r="B60" s="8">
        <v>2581.0</v>
      </c>
      <c r="C60" s="8">
        <v>18.38</v>
      </c>
      <c r="D60" s="8">
        <v>10830.0</v>
      </c>
      <c r="E60" s="4">
        <f t="shared" ref="E60:G60" si="177">LN(B60/B59)</f>
        <v>0.01601283971</v>
      </c>
      <c r="F60" s="4">
        <f t="shared" si="177"/>
        <v>-0.01565484063</v>
      </c>
      <c r="G60" s="4">
        <f t="shared" si="177"/>
        <v>0.0144623414</v>
      </c>
      <c r="H60" s="4">
        <f t="shared" si="2"/>
        <v>4431.6954</v>
      </c>
      <c r="I60" s="4">
        <f t="shared" si="6"/>
        <v>0.01471828779</v>
      </c>
      <c r="J60" s="4">
        <f t="shared" si="7"/>
        <v>0.0146473542</v>
      </c>
      <c r="K60" s="4">
        <f t="shared" si="8"/>
        <v>0.000000005031574494</v>
      </c>
      <c r="L60" s="9">
        <v>3130.23</v>
      </c>
      <c r="M60" s="4">
        <f t="shared" si="3"/>
        <v>8938.893332</v>
      </c>
      <c r="N60" s="4"/>
      <c r="O60" s="4"/>
      <c r="P60" s="4"/>
      <c r="Q60" s="4">
        <f t="shared" ref="Q60:S60" si="178">IF(E59=0,0,(E60-E59)/E59)</f>
        <v>3.613876773</v>
      </c>
      <c r="R60" s="4">
        <f t="shared" si="178"/>
        <v>-8.299066644</v>
      </c>
      <c r="S60" s="4">
        <f t="shared" si="178"/>
        <v>1.799640118</v>
      </c>
      <c r="T60" s="11">
        <v>3130.23</v>
      </c>
      <c r="U60" s="4"/>
      <c r="V60" s="4"/>
      <c r="W60" s="4"/>
      <c r="X60" s="4"/>
      <c r="Y60" s="4">
        <f t="shared" ref="Y60:Z60" si="179">(L60-L59)/L59</f>
        <v>0.01004159259</v>
      </c>
      <c r="Z60" s="4">
        <f t="shared" si="179"/>
        <v>0.01466799337</v>
      </c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</row>
    <row r="61" ht="14.25" customHeight="1">
      <c r="A61" s="12">
        <v>45295.0</v>
      </c>
      <c r="B61" s="13">
        <v>2568.0</v>
      </c>
      <c r="C61" s="13">
        <v>18.52</v>
      </c>
      <c r="D61" s="13">
        <v>10862.5</v>
      </c>
      <c r="E61" s="4">
        <f t="shared" ref="E61:G61" si="180">LN(B61/B60)</f>
        <v>-0.005049534909</v>
      </c>
      <c r="F61" s="4">
        <f t="shared" si="180"/>
        <v>0.00758811229</v>
      </c>
      <c r="G61" s="4">
        <f t="shared" si="180"/>
        <v>0.002996429579</v>
      </c>
      <c r="H61" s="4">
        <f t="shared" si="2"/>
        <v>4438.1766</v>
      </c>
      <c r="I61" s="4">
        <f t="shared" si="6"/>
        <v>0.001461396772</v>
      </c>
      <c r="J61" s="4">
        <f t="shared" si="7"/>
        <v>0.001232120869</v>
      </c>
      <c r="K61" s="4">
        <f t="shared" si="8"/>
        <v>0.00000005256743952</v>
      </c>
      <c r="L61" s="14">
        <v>3136.07</v>
      </c>
      <c r="M61" s="4">
        <f t="shared" si="3"/>
        <v>8961.106929</v>
      </c>
      <c r="N61" s="4"/>
      <c r="O61" s="4"/>
      <c r="P61" s="4"/>
      <c r="Q61" s="4">
        <f t="shared" ref="Q61:S61" si="181">IF(E60=0,0,(E61-E60)/E60)</f>
        <v>-1.315342875</v>
      </c>
      <c r="R61" s="4">
        <f t="shared" si="181"/>
        <v>-1.484713481</v>
      </c>
      <c r="S61" s="4">
        <f t="shared" si="181"/>
        <v>-0.792811586</v>
      </c>
      <c r="T61" s="15">
        <v>3136.07</v>
      </c>
      <c r="U61" s="4"/>
      <c r="V61" s="4"/>
      <c r="W61" s="4"/>
      <c r="X61" s="4"/>
      <c r="Y61" s="4">
        <f t="shared" ref="Y61:Z61" si="182">(L61-L60)/L60</f>
        <v>0.001865677602</v>
      </c>
      <c r="Z61" s="4">
        <f t="shared" si="182"/>
        <v>0.002485050012</v>
      </c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</row>
    <row r="62" ht="14.25" customHeight="1">
      <c r="A62" s="7">
        <v>45296.0</v>
      </c>
      <c r="B62" s="8">
        <v>2576.8</v>
      </c>
      <c r="C62" s="8">
        <v>18.57</v>
      </c>
      <c r="D62" s="8">
        <v>10800.0</v>
      </c>
      <c r="E62" s="4">
        <f t="shared" ref="E62:G62" si="183">LN(B62/B61)</f>
        <v>0.003420933207</v>
      </c>
      <c r="F62" s="4">
        <f t="shared" si="183"/>
        <v>0.002696146147</v>
      </c>
      <c r="G62" s="4">
        <f t="shared" si="183"/>
        <v>-0.005770356461</v>
      </c>
      <c r="H62" s="4">
        <f t="shared" si="2"/>
        <v>4420.4721</v>
      </c>
      <c r="I62" s="4">
        <f t="shared" si="6"/>
        <v>-0.003997116078</v>
      </c>
      <c r="J62" s="4">
        <f t="shared" si="7"/>
        <v>-0.003682207702</v>
      </c>
      <c r="K62" s="4">
        <f t="shared" si="8"/>
        <v>0.00000009916728493</v>
      </c>
      <c r="L62" s="9">
        <v>3136.37</v>
      </c>
      <c r="M62" s="4">
        <f t="shared" si="3"/>
        <v>8914.788837</v>
      </c>
      <c r="N62" s="4"/>
      <c r="O62" s="4"/>
      <c r="P62" s="4"/>
      <c r="Q62" s="4">
        <f t="shared" ref="Q62:S62" si="184">IF(E61=0,0,(E62-E61)/E61)</f>
        <v>-1.67747491</v>
      </c>
      <c r="R62" s="4">
        <f t="shared" si="184"/>
        <v>-0.6446881591</v>
      </c>
      <c r="S62" s="4">
        <f t="shared" si="184"/>
        <v>-2.92574406</v>
      </c>
      <c r="T62" s="11">
        <v>3136.37</v>
      </c>
      <c r="U62" s="4"/>
      <c r="V62" s="4"/>
      <c r="W62" s="4"/>
      <c r="X62" s="4"/>
      <c r="Y62" s="4">
        <f t="shared" ref="Y62:Z62" si="185">(L62-L61)/L61</f>
        <v>0.00009566113001</v>
      </c>
      <c r="Z62" s="4">
        <f t="shared" si="185"/>
        <v>-0.00516879135</v>
      </c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</row>
    <row r="63" ht="14.25" customHeight="1">
      <c r="A63" s="12">
        <v>45299.0</v>
      </c>
      <c r="B63" s="13">
        <v>2611.0</v>
      </c>
      <c r="C63" s="13">
        <v>18.74</v>
      </c>
      <c r="D63" s="13">
        <v>10900.0</v>
      </c>
      <c r="E63" s="4">
        <f t="shared" ref="E63:G63" si="186">LN(B63/B62)</f>
        <v>0.01318497068</v>
      </c>
      <c r="F63" s="4">
        <f t="shared" si="186"/>
        <v>0.009112901446</v>
      </c>
      <c r="G63" s="4">
        <f t="shared" si="186"/>
        <v>0.009216655105</v>
      </c>
      <c r="H63" s="4">
        <f t="shared" si="2"/>
        <v>4464.8142</v>
      </c>
      <c r="I63" s="4">
        <f t="shared" si="6"/>
        <v>0.00998110058</v>
      </c>
      <c r="J63" s="4">
        <f t="shared" si="7"/>
        <v>0.01009827842</v>
      </c>
      <c r="K63" s="4">
        <f t="shared" si="8"/>
        <v>0.00000001373064663</v>
      </c>
      <c r="L63" s="14">
        <v>3158.58</v>
      </c>
      <c r="M63" s="4">
        <f t="shared" si="3"/>
        <v>8999.631958</v>
      </c>
      <c r="N63" s="4"/>
      <c r="O63" s="4"/>
      <c r="P63" s="4"/>
      <c r="Q63" s="4">
        <f t="shared" ref="Q63:S63" si="187">IF(E62=0,0,(E63-E62)/E62)</f>
        <v>2.854202898</v>
      </c>
      <c r="R63" s="4">
        <f t="shared" si="187"/>
        <v>2.379973099</v>
      </c>
      <c r="S63" s="4">
        <f t="shared" si="187"/>
        <v>-2.597241898</v>
      </c>
      <c r="T63" s="15">
        <v>3158.58</v>
      </c>
      <c r="U63" s="4"/>
      <c r="V63" s="4"/>
      <c r="W63" s="4"/>
      <c r="X63" s="4"/>
      <c r="Y63" s="4">
        <f t="shared" ref="Y63:Z63" si="188">(L63-L62)/L62</f>
        <v>0.007081434907</v>
      </c>
      <c r="Z63" s="4">
        <f t="shared" si="188"/>
        <v>0.00951712069</v>
      </c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</row>
    <row r="64" ht="14.25" customHeight="1">
      <c r="A64" s="7">
        <v>45300.0</v>
      </c>
      <c r="B64" s="8">
        <v>2607.0</v>
      </c>
      <c r="C64" s="8">
        <v>18.68</v>
      </c>
      <c r="D64" s="8">
        <v>10898.5</v>
      </c>
      <c r="E64" s="4">
        <f t="shared" ref="E64:G64" si="189">LN(B64/B63)</f>
        <v>-0.001533154766</v>
      </c>
      <c r="F64" s="4">
        <f t="shared" si="189"/>
        <v>-0.00320684401</v>
      </c>
      <c r="G64" s="4">
        <f t="shared" si="189"/>
        <v>-0.0001376241487</v>
      </c>
      <c r="H64" s="4">
        <f t="shared" si="2"/>
        <v>4462.9794</v>
      </c>
      <c r="I64" s="4">
        <f t="shared" si="6"/>
        <v>-0.0004110310135</v>
      </c>
      <c r="J64" s="4">
        <f t="shared" si="7"/>
        <v>-0.0004641283286</v>
      </c>
      <c r="K64" s="4">
        <f t="shared" si="8"/>
        <v>0.000000002819324869</v>
      </c>
      <c r="L64" s="9">
        <v>3155.55</v>
      </c>
      <c r="M64" s="4">
        <f t="shared" si="3"/>
        <v>8997.583832</v>
      </c>
      <c r="N64" s="4"/>
      <c r="O64" s="4"/>
      <c r="P64" s="4"/>
      <c r="Q64" s="4">
        <f t="shared" ref="Q64:S64" si="190">IF(E63=0,0,(E64-E63)/E63)</f>
        <v>-1.116280483</v>
      </c>
      <c r="R64" s="4">
        <f t="shared" si="190"/>
        <v>-1.351901535</v>
      </c>
      <c r="S64" s="4">
        <f t="shared" si="190"/>
        <v>-1.014932114</v>
      </c>
      <c r="T64" s="11">
        <v>3155.55</v>
      </c>
      <c r="U64" s="4"/>
      <c r="V64" s="4"/>
      <c r="W64" s="4"/>
      <c r="X64" s="4"/>
      <c r="Y64" s="4">
        <f t="shared" ref="Y64:Z64" si="191">(L64-L63)/L63</f>
        <v>-0.0009592918337</v>
      </c>
      <c r="Z64" s="4">
        <f t="shared" si="191"/>
        <v>-0.0002275788934</v>
      </c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</row>
    <row r="65" ht="14.25" customHeight="1">
      <c r="A65" s="12">
        <v>45301.0</v>
      </c>
      <c r="B65" s="13">
        <v>2586.4</v>
      </c>
      <c r="C65" s="13">
        <v>18.81</v>
      </c>
      <c r="D65" s="13">
        <v>10809.0</v>
      </c>
      <c r="E65" s="4">
        <f t="shared" ref="E65:G65" si="192">LN(B65/B64)</f>
        <v>-0.007933187522</v>
      </c>
      <c r="F65" s="4">
        <f t="shared" si="192"/>
        <v>0.006935210512</v>
      </c>
      <c r="G65" s="4">
        <f t="shared" si="192"/>
        <v>-0.008246044652</v>
      </c>
      <c r="H65" s="4">
        <f t="shared" si="2"/>
        <v>4426.6893</v>
      </c>
      <c r="I65" s="4">
        <f t="shared" si="6"/>
        <v>-0.008164601588</v>
      </c>
      <c r="J65" s="4">
        <f t="shared" si="7"/>
        <v>-0.008096010092</v>
      </c>
      <c r="K65" s="4">
        <f t="shared" si="8"/>
        <v>0.000000004704793405</v>
      </c>
      <c r="L65" s="14">
        <v>3164.7</v>
      </c>
      <c r="M65" s="4">
        <f t="shared" si="3"/>
        <v>8923.875777</v>
      </c>
      <c r="N65" s="4"/>
      <c r="O65" s="4"/>
      <c r="P65" s="4"/>
      <c r="Q65" s="4">
        <f t="shared" ref="Q65:S65" si="193">IF(E64=0,0,(E65-E64)/E64)</f>
        <v>4.174420548</v>
      </c>
      <c r="R65" s="4">
        <f t="shared" si="193"/>
        <v>-3.162627958</v>
      </c>
      <c r="S65" s="4">
        <f t="shared" si="193"/>
        <v>58.91713469</v>
      </c>
      <c r="T65" s="15">
        <v>3164.7</v>
      </c>
      <c r="U65" s="4"/>
      <c r="V65" s="4"/>
      <c r="W65" s="4"/>
      <c r="X65" s="4"/>
      <c r="Y65" s="4">
        <f t="shared" ref="Y65:Z65" si="194">(L65-L64)/L64</f>
        <v>0.002899652992</v>
      </c>
      <c r="Z65" s="4">
        <f t="shared" si="194"/>
        <v>-0.008191983086</v>
      </c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</row>
    <row r="66" ht="14.25" customHeight="1">
      <c r="A66" s="7">
        <v>45302.0</v>
      </c>
      <c r="B66" s="8">
        <v>2605.0</v>
      </c>
      <c r="C66" s="8">
        <v>18.94</v>
      </c>
      <c r="D66" s="8">
        <v>10851.5</v>
      </c>
      <c r="E66" s="4">
        <f t="shared" ref="E66:G66" si="195">LN(B66/B65)</f>
        <v>0.007165727776</v>
      </c>
      <c r="F66" s="4">
        <f t="shared" si="195"/>
        <v>0.006887444445</v>
      </c>
      <c r="G66" s="4">
        <f t="shared" si="195"/>
        <v>0.003924198845</v>
      </c>
      <c r="H66" s="4">
        <f t="shared" si="2"/>
        <v>4446.8952</v>
      </c>
      <c r="I66" s="4">
        <f t="shared" si="6"/>
        <v>0.004554176483</v>
      </c>
      <c r="J66" s="4">
        <f t="shared" si="7"/>
        <v>0.004660514443</v>
      </c>
      <c r="K66" s="4">
        <f t="shared" si="8"/>
        <v>0.00000001130776178</v>
      </c>
      <c r="L66" s="9">
        <v>3181.25</v>
      </c>
      <c r="M66" s="4">
        <f t="shared" si="3"/>
        <v>8960.838076</v>
      </c>
      <c r="N66" s="4"/>
      <c r="O66" s="4"/>
      <c r="P66" s="4"/>
      <c r="Q66" s="4">
        <f t="shared" ref="Q66:S66" si="196">IF(E65=0,0,(E66-E65)/E65)</f>
        <v>-1.903259599</v>
      </c>
      <c r="R66" s="4">
        <f t="shared" si="196"/>
        <v>-0.00688747186</v>
      </c>
      <c r="S66" s="4">
        <f t="shared" si="196"/>
        <v>-1.475888624</v>
      </c>
      <c r="T66" s="11">
        <v>3181.25</v>
      </c>
      <c r="U66" s="4"/>
      <c r="V66" s="4"/>
      <c r="W66" s="4"/>
      <c r="X66" s="4"/>
      <c r="Y66" s="4">
        <f t="shared" ref="Y66:Z66" si="197">(L66-L65)/L65</f>
        <v>0.005229563624</v>
      </c>
      <c r="Z66" s="4">
        <f t="shared" si="197"/>
        <v>0.004141955847</v>
      </c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</row>
    <row r="67" ht="14.25" customHeight="1">
      <c r="A67" s="12">
        <v>45303.0</v>
      </c>
      <c r="B67" s="13">
        <v>2631.0</v>
      </c>
      <c r="C67" s="13">
        <v>19.45</v>
      </c>
      <c r="D67" s="13">
        <v>10999.0</v>
      </c>
      <c r="E67" s="4">
        <f t="shared" ref="E67:G67" si="198">LN(B67/B66)</f>
        <v>0.009931326853</v>
      </c>
      <c r="F67" s="4">
        <f t="shared" si="198"/>
        <v>0.02657098231</v>
      </c>
      <c r="G67" s="4">
        <f t="shared" si="198"/>
        <v>0.0135010403</v>
      </c>
      <c r="H67" s="4">
        <f t="shared" si="2"/>
        <v>4504.3185</v>
      </c>
      <c r="I67" s="4">
        <f t="shared" si="6"/>
        <v>0.01283045846</v>
      </c>
      <c r="J67" s="4">
        <f t="shared" si="7"/>
        <v>0.0127767696</v>
      </c>
      <c r="K67" s="4">
        <f t="shared" si="8"/>
        <v>0.000000002882493515</v>
      </c>
      <c r="L67" s="14">
        <v>3185.22</v>
      </c>
      <c r="M67" s="4">
        <f t="shared" si="3"/>
        <v>9080.548828</v>
      </c>
      <c r="N67" s="4"/>
      <c r="O67" s="4"/>
      <c r="P67" s="4"/>
      <c r="Q67" s="4">
        <f t="shared" ref="Q67:S67" si="199">IF(E66=0,0,(E67-E66)/E66)</f>
        <v>0.3859481078</v>
      </c>
      <c r="R67" s="4">
        <f t="shared" si="199"/>
        <v>2.857886988</v>
      </c>
      <c r="S67" s="4">
        <f t="shared" si="199"/>
        <v>2.440457742</v>
      </c>
      <c r="T67" s="15">
        <v>3185.22</v>
      </c>
      <c r="U67" s="4"/>
      <c r="V67" s="4"/>
      <c r="W67" s="4"/>
      <c r="X67" s="4"/>
      <c r="Y67" s="4">
        <f t="shared" ref="Y67:Z67" si="200">(L67-L66)/L66</f>
        <v>0.001247937132</v>
      </c>
      <c r="Z67" s="4">
        <f t="shared" si="200"/>
        <v>0.01335932534</v>
      </c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</row>
    <row r="68" ht="14.25" customHeight="1">
      <c r="A68" s="7">
        <v>45306.0</v>
      </c>
      <c r="B68" s="8">
        <v>2690.2</v>
      </c>
      <c r="C68" s="8">
        <v>19.99</v>
      </c>
      <c r="D68" s="8">
        <v>11049.0</v>
      </c>
      <c r="E68" s="4">
        <f t="shared" ref="E68:G68" si="201">LN(B68/B67)</f>
        <v>0.02225153823</v>
      </c>
      <c r="F68" s="4">
        <f t="shared" si="201"/>
        <v>0.02738507845</v>
      </c>
      <c r="G68" s="4">
        <f t="shared" si="201"/>
        <v>0.004535566556</v>
      </c>
      <c r="H68" s="4">
        <f t="shared" si="2"/>
        <v>4540.5327</v>
      </c>
      <c r="I68" s="4">
        <f t="shared" si="6"/>
        <v>0.008007736715</v>
      </c>
      <c r="J68" s="4">
        <f t="shared" si="7"/>
        <v>0.008595041377</v>
      </c>
      <c r="K68" s="4">
        <f t="shared" si="8"/>
        <v>0.000000344926766</v>
      </c>
      <c r="L68" s="9">
        <v>3184.88</v>
      </c>
      <c r="M68" s="4">
        <f t="shared" si="3"/>
        <v>9132.331809</v>
      </c>
      <c r="N68" s="4"/>
      <c r="O68" s="4"/>
      <c r="P68" s="4"/>
      <c r="Q68" s="4">
        <f t="shared" ref="Q68:S68" si="202">IF(E67=0,0,(E68-E67)/E67)</f>
        <v>1.240540319</v>
      </c>
      <c r="R68" s="4">
        <f t="shared" si="202"/>
        <v>0.0306385414</v>
      </c>
      <c r="S68" s="4">
        <f t="shared" si="202"/>
        <v>-0.6640579943</v>
      </c>
      <c r="T68" s="11">
        <v>3184.88</v>
      </c>
      <c r="U68" s="4"/>
      <c r="V68" s="4"/>
      <c r="W68" s="4"/>
      <c r="X68" s="4"/>
      <c r="Y68" s="4">
        <f t="shared" ref="Y68:Z68" si="203">(L68-L67)/L67</f>
        <v>-0.0001067430193</v>
      </c>
      <c r="Z68" s="4">
        <f t="shared" si="203"/>
        <v>0.00570262683</v>
      </c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</row>
    <row r="69" ht="14.25" customHeight="1">
      <c r="A69" s="12">
        <v>45307.0</v>
      </c>
      <c r="B69" s="13">
        <v>2647.2</v>
      </c>
      <c r="C69" s="13">
        <v>19.83</v>
      </c>
      <c r="D69" s="13">
        <v>10995.5</v>
      </c>
      <c r="E69" s="4">
        <f t="shared" ref="E69:G69" si="204">LN(B69/B68)</f>
        <v>-0.01611306267</v>
      </c>
      <c r="F69" s="4">
        <f t="shared" si="204"/>
        <v>-0.008036205981</v>
      </c>
      <c r="G69" s="4">
        <f t="shared" si="204"/>
        <v>-0.004853827942</v>
      </c>
      <c r="H69" s="4">
        <f t="shared" si="2"/>
        <v>4508.6349</v>
      </c>
      <c r="I69" s="4">
        <f t="shared" si="6"/>
        <v>-0.007049915202</v>
      </c>
      <c r="J69" s="4">
        <f t="shared" si="7"/>
        <v>-0.007373675288</v>
      </c>
      <c r="K69" s="4">
        <f t="shared" si="8"/>
        <v>0.0000001048205934</v>
      </c>
      <c r="L69" s="14">
        <v>3179.45</v>
      </c>
      <c r="M69" s="4">
        <f t="shared" si="3"/>
        <v>9081.448791</v>
      </c>
      <c r="N69" s="4"/>
      <c r="O69" s="4"/>
      <c r="P69" s="4"/>
      <c r="Q69" s="4">
        <f t="shared" ref="Q69:S69" si="205">IF(E68=0,0,(E69-E68)/E68)</f>
        <v>-1.72413253</v>
      </c>
      <c r="R69" s="4">
        <f t="shared" si="205"/>
        <v>-1.293451998</v>
      </c>
      <c r="S69" s="4">
        <f t="shared" si="205"/>
        <v>-2.07017015</v>
      </c>
      <c r="T69" s="15">
        <v>3179.45</v>
      </c>
      <c r="U69" s="4"/>
      <c r="V69" s="4"/>
      <c r="W69" s="4"/>
      <c r="X69" s="4"/>
      <c r="Y69" s="4">
        <f t="shared" ref="Y69:Z69" si="206">(L69-L68)/L68</f>
        <v>-0.001704930798</v>
      </c>
      <c r="Z69" s="4">
        <f t="shared" si="206"/>
        <v>-0.005571744289</v>
      </c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</row>
    <row r="70" ht="14.25" customHeight="1">
      <c r="A70" s="7">
        <v>45308.0</v>
      </c>
      <c r="B70" s="8">
        <v>2652.4</v>
      </c>
      <c r="C70" s="8">
        <v>19.36</v>
      </c>
      <c r="D70" s="8">
        <v>10966.0</v>
      </c>
      <c r="E70" s="4">
        <f t="shared" ref="E70:G70" si="207">LN(B70/B69)</f>
        <v>0.001962412887</v>
      </c>
      <c r="F70" s="4">
        <f t="shared" si="207"/>
        <v>-0.02398686068</v>
      </c>
      <c r="G70" s="4">
        <f t="shared" si="207"/>
        <v>-0.002686521207</v>
      </c>
      <c r="H70" s="4">
        <f t="shared" si="2"/>
        <v>4500.4608</v>
      </c>
      <c r="I70" s="4">
        <f t="shared" si="6"/>
        <v>-0.001814633236</v>
      </c>
      <c r="J70" s="4">
        <f t="shared" si="7"/>
        <v>-0.001765969539</v>
      </c>
      <c r="K70" s="4">
        <f t="shared" si="8"/>
        <v>0.000000002368155428</v>
      </c>
      <c r="L70" s="9">
        <v>3185.23</v>
      </c>
      <c r="M70" s="4">
        <f t="shared" si="3"/>
        <v>9059.816654</v>
      </c>
      <c r="N70" s="4"/>
      <c r="O70" s="4"/>
      <c r="P70" s="4"/>
      <c r="Q70" s="4">
        <f t="shared" ref="Q70:S70" si="208">IF(E69=0,0,(E70-E69)/E69)</f>
        <v>-1.121790185</v>
      </c>
      <c r="R70" s="4">
        <f t="shared" si="208"/>
        <v>1.984848913</v>
      </c>
      <c r="S70" s="4">
        <f t="shared" si="208"/>
        <v>-0.4465149488</v>
      </c>
      <c r="T70" s="11">
        <v>3185.23</v>
      </c>
      <c r="U70" s="4"/>
      <c r="V70" s="4"/>
      <c r="W70" s="4"/>
      <c r="X70" s="4"/>
      <c r="Y70" s="4">
        <f t="shared" ref="Y70:Z70" si="209">(L70-L69)/L69</f>
        <v>0.001817924484</v>
      </c>
      <c r="Z70" s="4">
        <f t="shared" si="209"/>
        <v>-0.002382013887</v>
      </c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</row>
    <row r="71" ht="14.25" customHeight="1">
      <c r="A71" s="12">
        <v>45309.0</v>
      </c>
      <c r="B71" s="13">
        <v>2595.8</v>
      </c>
      <c r="C71" s="13">
        <v>19.49</v>
      </c>
      <c r="D71" s="13">
        <v>11030.5</v>
      </c>
      <c r="E71" s="4">
        <f t="shared" ref="E71:G71" si="210">LN(B71/B70)</f>
        <v>-0.02157013624</v>
      </c>
      <c r="F71" s="4">
        <f t="shared" si="210"/>
        <v>0.006692431671</v>
      </c>
      <c r="G71" s="4">
        <f t="shared" si="210"/>
        <v>0.005864586172</v>
      </c>
      <c r="H71" s="4">
        <f t="shared" si="2"/>
        <v>4503.1107</v>
      </c>
      <c r="I71" s="4">
        <f t="shared" si="6"/>
        <v>0.0005886330944</v>
      </c>
      <c r="J71" s="4">
        <f t="shared" si="7"/>
        <v>-0.0002298800298</v>
      </c>
      <c r="K71" s="4">
        <f t="shared" si="8"/>
        <v>0.0000006699637346</v>
      </c>
      <c r="L71" s="14">
        <v>3178.85</v>
      </c>
      <c r="M71" s="4">
        <f t="shared" si="3"/>
        <v>9097.054346</v>
      </c>
      <c r="N71" s="4"/>
      <c r="O71" s="4"/>
      <c r="P71" s="4"/>
      <c r="Q71" s="4">
        <f t="shared" ref="Q71:S71" si="211">IF(E70=0,0,(E71-E70)/E70)</f>
        <v>-11.99164013</v>
      </c>
      <c r="R71" s="4">
        <f t="shared" si="211"/>
        <v>-1.279004066</v>
      </c>
      <c r="S71" s="4">
        <f t="shared" si="211"/>
        <v>-3.18296664</v>
      </c>
      <c r="T71" s="15">
        <v>3178.85</v>
      </c>
      <c r="U71" s="4"/>
      <c r="V71" s="4"/>
      <c r="W71" s="4"/>
      <c r="X71" s="4"/>
      <c r="Y71" s="4">
        <f t="shared" ref="Y71:Z71" si="212">(L71-L70)/L70</f>
        <v>-0.002002995074</v>
      </c>
      <c r="Z71" s="4">
        <f t="shared" si="212"/>
        <v>0.004110203696</v>
      </c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</row>
    <row r="72" ht="14.25" customHeight="1">
      <c r="A72" s="7">
        <v>45310.0</v>
      </c>
      <c r="B72" s="8">
        <v>2569.8</v>
      </c>
      <c r="C72" s="8">
        <v>19.51</v>
      </c>
      <c r="D72" s="8">
        <v>11003.0</v>
      </c>
      <c r="E72" s="4">
        <f t="shared" ref="E72:G72" si="213">LN(B72/B71)</f>
        <v>-0.0100666794</v>
      </c>
      <c r="F72" s="4">
        <f t="shared" si="213"/>
        <v>0.001025641116</v>
      </c>
      <c r="G72" s="4">
        <f t="shared" si="213"/>
        <v>-0.002496200266</v>
      </c>
      <c r="H72" s="4">
        <f t="shared" si="2"/>
        <v>4485.4623</v>
      </c>
      <c r="I72" s="4">
        <f t="shared" si="6"/>
        <v>-0.003926857506</v>
      </c>
      <c r="J72" s="4">
        <f t="shared" si="7"/>
        <v>-0.004160478448</v>
      </c>
      <c r="K72" s="4">
        <f t="shared" si="8"/>
        <v>0.00000005457874421</v>
      </c>
      <c r="L72" s="9">
        <v>3166.37</v>
      </c>
      <c r="M72" s="4">
        <f t="shared" si="3"/>
        <v>9070.033703</v>
      </c>
      <c r="N72" s="4"/>
      <c r="O72" s="4"/>
      <c r="P72" s="4"/>
      <c r="Q72" s="4">
        <f t="shared" ref="Q72:S72" si="214">IF(E71=0,0,(E72-E71)/E71)</f>
        <v>-0.5333047834</v>
      </c>
      <c r="R72" s="4">
        <f t="shared" si="214"/>
        <v>-0.8467461207</v>
      </c>
      <c r="S72" s="4">
        <f t="shared" si="214"/>
        <v>-1.425639626</v>
      </c>
      <c r="T72" s="11">
        <v>3166.37</v>
      </c>
      <c r="U72" s="4"/>
      <c r="V72" s="4"/>
      <c r="W72" s="4"/>
      <c r="X72" s="4"/>
      <c r="Y72" s="4">
        <f t="shared" ref="Y72:Z72" si="215">(L72-L71)/L71</f>
        <v>-0.003925948063</v>
      </c>
      <c r="Z72" s="4">
        <f t="shared" si="215"/>
        <v>-0.002970262934</v>
      </c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</row>
    <row r="73" ht="14.25" customHeight="1">
      <c r="A73" s="12">
        <v>45313.0</v>
      </c>
      <c r="B73" s="13">
        <v>2601.0</v>
      </c>
      <c r="C73" s="13">
        <v>19.66</v>
      </c>
      <c r="D73" s="13">
        <v>11063.0</v>
      </c>
      <c r="E73" s="4">
        <f t="shared" ref="E73:G73" si="216">LN(B73/B72)</f>
        <v>0.0120679116</v>
      </c>
      <c r="F73" s="4">
        <f t="shared" si="216"/>
        <v>0.007658960084</v>
      </c>
      <c r="G73" s="4">
        <f t="shared" si="216"/>
        <v>0.005438244165</v>
      </c>
      <c r="H73" s="4">
        <f t="shared" si="2"/>
        <v>4515.6078</v>
      </c>
      <c r="I73" s="4">
        <f t="shared" si="6"/>
        <v>0.006698228627</v>
      </c>
      <c r="J73" s="4">
        <f t="shared" si="7"/>
        <v>0.006923820715</v>
      </c>
      <c r="K73" s="4">
        <f t="shared" si="8"/>
        <v>0.00000005089179015</v>
      </c>
      <c r="L73" s="14">
        <v>3172.15</v>
      </c>
      <c r="M73" s="4">
        <f t="shared" si="3"/>
        <v>9123.314039</v>
      </c>
      <c r="N73" s="4"/>
      <c r="O73" s="4"/>
      <c r="P73" s="4"/>
      <c r="Q73" s="4">
        <f t="shared" ref="Q73:S73" si="217">IF(E72=0,0,(E73-E72)/E72)</f>
        <v>-2.198797649</v>
      </c>
      <c r="R73" s="4">
        <f t="shared" si="217"/>
        <v>6.467485427</v>
      </c>
      <c r="S73" s="4">
        <f t="shared" si="217"/>
        <v>-3.17860892</v>
      </c>
      <c r="T73" s="15">
        <v>3172.15</v>
      </c>
      <c r="U73" s="4"/>
      <c r="V73" s="4"/>
      <c r="W73" s="4"/>
      <c r="X73" s="4"/>
      <c r="Y73" s="4">
        <f t="shared" ref="Y73:Z73" si="218">(L73-L72)/L72</f>
        <v>0.001825434172</v>
      </c>
      <c r="Z73" s="4">
        <f t="shared" si="218"/>
        <v>0.005874326191</v>
      </c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</row>
    <row r="74" ht="14.25" customHeight="1">
      <c r="A74" s="7">
        <v>45314.0</v>
      </c>
      <c r="B74" s="8">
        <v>2635.4</v>
      </c>
      <c r="C74" s="8">
        <v>19.62</v>
      </c>
      <c r="D74" s="8">
        <v>11052.0</v>
      </c>
      <c r="E74" s="4">
        <f t="shared" ref="E74:G74" si="219">LN(B74/B73)</f>
        <v>0.01313898666</v>
      </c>
      <c r="F74" s="4">
        <f t="shared" si="219"/>
        <v>-0.002036660582</v>
      </c>
      <c r="G74" s="4">
        <f t="shared" si="219"/>
        <v>-0.0009947999916</v>
      </c>
      <c r="H74" s="4">
        <f t="shared" si="2"/>
        <v>4523.3166</v>
      </c>
      <c r="I74" s="4">
        <f t="shared" si="6"/>
        <v>0.001705690086</v>
      </c>
      <c r="J74" s="4">
        <f t="shared" si="7"/>
        <v>0.00214167717</v>
      </c>
      <c r="K74" s="4">
        <f t="shared" si="8"/>
        <v>0.0000001900847376</v>
      </c>
      <c r="L74" s="9">
        <v>3175.74</v>
      </c>
      <c r="M74" s="4">
        <f t="shared" si="3"/>
        <v>9122.464757</v>
      </c>
      <c r="N74" s="4"/>
      <c r="O74" s="4"/>
      <c r="P74" s="4"/>
      <c r="Q74" s="4">
        <f t="shared" ref="Q74:S74" si="220">IF(E73=0,0,(E74-E73)/E73)</f>
        <v>0.08875396993</v>
      </c>
      <c r="R74" s="4">
        <f t="shared" si="220"/>
        <v>-1.265918683</v>
      </c>
      <c r="S74" s="4">
        <f t="shared" si="220"/>
        <v>-1.182926688</v>
      </c>
      <c r="T74" s="11">
        <v>3175.74</v>
      </c>
      <c r="U74" s="4"/>
      <c r="V74" s="4"/>
      <c r="W74" s="4"/>
      <c r="X74" s="4"/>
      <c r="Y74" s="4">
        <f t="shared" ref="Y74:Z74" si="221">(L74-L73)/L73</f>
        <v>0.00113172454</v>
      </c>
      <c r="Z74" s="4">
        <f t="shared" si="221"/>
        <v>-0.0000930891839</v>
      </c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</row>
    <row r="75" ht="14.25" customHeight="1">
      <c r="A75" s="12">
        <v>45315.0</v>
      </c>
      <c r="B75" s="13">
        <v>2645.8</v>
      </c>
      <c r="C75" s="13">
        <v>19.7</v>
      </c>
      <c r="D75" s="13">
        <v>10936.0</v>
      </c>
      <c r="E75" s="4">
        <f t="shared" ref="E75:G75" si="222">LN(B75/B74)</f>
        <v>0.003938503917</v>
      </c>
      <c r="F75" s="4">
        <f t="shared" si="222"/>
        <v>0.004069181607</v>
      </c>
      <c r="G75" s="4">
        <f t="shared" si="222"/>
        <v>-0.01055130764</v>
      </c>
      <c r="H75" s="4">
        <f t="shared" si="2"/>
        <v>4488.495</v>
      </c>
      <c r="I75" s="4">
        <f t="shared" si="6"/>
        <v>-0.007728029579</v>
      </c>
      <c r="J75" s="4">
        <f t="shared" si="7"/>
        <v>-0.007252648962</v>
      </c>
      <c r="K75" s="4">
        <f t="shared" si="8"/>
        <v>0.0000002259867313</v>
      </c>
      <c r="L75" s="14">
        <v>3162.41</v>
      </c>
      <c r="M75" s="4">
        <f t="shared" si="3"/>
        <v>9035.179424</v>
      </c>
      <c r="N75" s="4"/>
      <c r="O75" s="4"/>
      <c r="P75" s="4"/>
      <c r="Q75" s="4">
        <f t="shared" ref="Q75:S75" si="223">IF(E74=0,0,(E75-E74)/E74)</f>
        <v>-0.7002429473</v>
      </c>
      <c r="R75" s="4">
        <f t="shared" si="223"/>
        <v>-2.997967478</v>
      </c>
      <c r="S75" s="4">
        <f t="shared" si="223"/>
        <v>9.606461327</v>
      </c>
      <c r="T75" s="15">
        <v>3162.41</v>
      </c>
      <c r="U75" s="4"/>
      <c r="V75" s="4"/>
      <c r="W75" s="4"/>
      <c r="X75" s="4"/>
      <c r="Y75" s="4">
        <f t="shared" ref="Y75:Z75" si="224">(L75-L74)/L74</f>
        <v>-0.004197446894</v>
      </c>
      <c r="Z75" s="4">
        <f t="shared" si="224"/>
        <v>-0.009568174336</v>
      </c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</row>
    <row r="76" ht="14.25" customHeight="1">
      <c r="A76" s="7">
        <v>45316.0</v>
      </c>
      <c r="B76" s="8">
        <v>2779.0</v>
      </c>
      <c r="C76" s="8">
        <v>19.54</v>
      </c>
      <c r="D76" s="8">
        <v>10951.5</v>
      </c>
      <c r="E76" s="4">
        <f t="shared" ref="E76:G76" si="225">LN(B76/B75)</f>
        <v>0.04911767371</v>
      </c>
      <c r="F76" s="4">
        <f t="shared" si="225"/>
        <v>-0.008154989129</v>
      </c>
      <c r="G76" s="4">
        <f t="shared" si="225"/>
        <v>0.00141633376</v>
      </c>
      <c r="H76" s="4">
        <f t="shared" si="2"/>
        <v>4537.5132</v>
      </c>
      <c r="I76" s="4">
        <f t="shared" si="6"/>
        <v>0.01086165242</v>
      </c>
      <c r="J76" s="4">
        <f t="shared" si="7"/>
        <v>0.01196980046</v>
      </c>
      <c r="K76" s="4">
        <f t="shared" si="8"/>
        <v>0.000001227992086</v>
      </c>
      <c r="L76" s="9">
        <v>3157.74</v>
      </c>
      <c r="M76" s="4">
        <f t="shared" si="3"/>
        <v>9076.76161</v>
      </c>
      <c r="N76" s="4"/>
      <c r="O76" s="4"/>
      <c r="P76" s="4"/>
      <c r="Q76" s="4">
        <f t="shared" ref="Q76:S76" si="226">IF(E75=0,0,(E76-E75)/E75)</f>
        <v>11.47115015</v>
      </c>
      <c r="R76" s="4">
        <f t="shared" si="226"/>
        <v>-3.004085813</v>
      </c>
      <c r="S76" s="4">
        <f t="shared" si="226"/>
        <v>-1.134233008</v>
      </c>
      <c r="T76" s="11">
        <v>3157.74</v>
      </c>
      <c r="U76" s="4"/>
      <c r="V76" s="4"/>
      <c r="W76" s="4"/>
      <c r="X76" s="4"/>
      <c r="Y76" s="4">
        <f t="shared" ref="Y76:Z76" si="227">(L76-L75)/L75</f>
        <v>-0.001476721867</v>
      </c>
      <c r="Z76" s="4">
        <f t="shared" si="227"/>
        <v>0.004602253468</v>
      </c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</row>
    <row r="77" ht="14.25" customHeight="1">
      <c r="A77" s="12">
        <v>45317.0</v>
      </c>
      <c r="B77" s="13">
        <v>2873.0</v>
      </c>
      <c r="C77" s="13">
        <v>20.0</v>
      </c>
      <c r="D77" s="13">
        <v>10958.0</v>
      </c>
      <c r="E77" s="4">
        <f t="shared" ref="E77:G77" si="228">LN(B77/B76)</f>
        <v>0.03326562924</v>
      </c>
      <c r="F77" s="4">
        <f t="shared" si="228"/>
        <v>0.02326862694</v>
      </c>
      <c r="G77" s="4">
        <f t="shared" si="228"/>
        <v>0.0005933499341</v>
      </c>
      <c r="H77" s="4">
        <f t="shared" si="2"/>
        <v>4570.83</v>
      </c>
      <c r="I77" s="4">
        <f t="shared" si="6"/>
        <v>0.007315698994</v>
      </c>
      <c r="J77" s="4">
        <f t="shared" si="7"/>
        <v>0.007976751629</v>
      </c>
      <c r="K77" s="4">
        <f t="shared" si="8"/>
        <v>0.0000004369905865</v>
      </c>
      <c r="L77" s="14">
        <v>3163.21</v>
      </c>
      <c r="M77" s="4">
        <f t="shared" si="3"/>
        <v>9102.681209</v>
      </c>
      <c r="N77" s="4"/>
      <c r="O77" s="4"/>
      <c r="P77" s="4"/>
      <c r="Q77" s="4">
        <f t="shared" ref="Q77:S77" si="229">IF(E76=0,0,(E77-E76)/E76)</f>
        <v>-0.3227360597</v>
      </c>
      <c r="R77" s="4">
        <f t="shared" si="229"/>
        <v>-3.853299566</v>
      </c>
      <c r="S77" s="4">
        <f t="shared" si="229"/>
        <v>-0.5810663061</v>
      </c>
      <c r="T77" s="15">
        <v>3163.21</v>
      </c>
      <c r="U77" s="4"/>
      <c r="V77" s="4"/>
      <c r="W77" s="4"/>
      <c r="X77" s="4"/>
      <c r="Y77" s="4">
        <f t="shared" ref="Y77:Z77" si="230">(L77-L76)/L76</f>
        <v>0.001732251547</v>
      </c>
      <c r="Z77" s="4">
        <f t="shared" si="230"/>
        <v>0.00285559987</v>
      </c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</row>
    <row r="78" ht="14.25" customHeight="1">
      <c r="A78" s="7">
        <v>45320.0</v>
      </c>
      <c r="B78" s="8">
        <v>2995.0</v>
      </c>
      <c r="C78" s="8">
        <v>19.86</v>
      </c>
      <c r="D78" s="8">
        <v>10981.0</v>
      </c>
      <c r="E78" s="4">
        <f t="shared" ref="E78:G78" si="231">LN(B78/B77)</f>
        <v>0.04158745157</v>
      </c>
      <c r="F78" s="4">
        <f t="shared" si="231"/>
        <v>-0.007024614937</v>
      </c>
      <c r="G78" s="4">
        <f t="shared" si="231"/>
        <v>0.002096723499</v>
      </c>
      <c r="H78" s="4">
        <f t="shared" si="2"/>
        <v>4618.6338</v>
      </c>
      <c r="I78" s="4">
        <f t="shared" si="6"/>
        <v>0.0104041394</v>
      </c>
      <c r="J78" s="4">
        <f t="shared" si="7"/>
        <v>0.01082732201</v>
      </c>
      <c r="K78" s="4">
        <f t="shared" si="8"/>
        <v>0.0000001790835186</v>
      </c>
      <c r="L78" s="9">
        <v>3176.61</v>
      </c>
      <c r="M78" s="4">
        <f t="shared" si="3"/>
        <v>9147.56665</v>
      </c>
      <c r="N78" s="4"/>
      <c r="O78" s="4"/>
      <c r="P78" s="4"/>
      <c r="Q78" s="4">
        <f t="shared" ref="Q78:S78" si="232">IF(E77=0,0,(E78-E77)/E77)</f>
        <v>0.2501627814</v>
      </c>
      <c r="R78" s="4">
        <f t="shared" si="232"/>
        <v>-1.301892112</v>
      </c>
      <c r="S78" s="4">
        <f t="shared" si="232"/>
        <v>2.533704782</v>
      </c>
      <c r="T78" s="11">
        <v>3176.61</v>
      </c>
      <c r="U78" s="4"/>
      <c r="V78" s="4"/>
      <c r="W78" s="4"/>
      <c r="X78" s="4"/>
      <c r="Y78" s="4">
        <f t="shared" ref="Y78:Z78" si="233">(L78-L77)/L77</f>
        <v>0.004236203097</v>
      </c>
      <c r="Z78" s="4">
        <f t="shared" si="233"/>
        <v>0.004931013124</v>
      </c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</row>
    <row r="79" ht="14.25" customHeight="1">
      <c r="A79" s="12">
        <v>45321.0</v>
      </c>
      <c r="B79" s="13">
        <v>3078.0</v>
      </c>
      <c r="C79" s="13">
        <v>20.0</v>
      </c>
      <c r="D79" s="13">
        <v>11077.5</v>
      </c>
      <c r="E79" s="4">
        <f t="shared" ref="E79:G79" si="234">LN(B79/B78)</f>
        <v>0.02733580385</v>
      </c>
      <c r="F79" s="4">
        <f t="shared" si="234"/>
        <v>0.007024614937</v>
      </c>
      <c r="G79" s="4">
        <f t="shared" si="234"/>
        <v>0.008749517476</v>
      </c>
      <c r="H79" s="4">
        <f t="shared" si="2"/>
        <v>4677.915</v>
      </c>
      <c r="I79" s="4">
        <f t="shared" si="6"/>
        <v>0.01275355076</v>
      </c>
      <c r="J79" s="4">
        <f t="shared" si="7"/>
        <v>0.01287218298</v>
      </c>
      <c r="K79" s="4">
        <f t="shared" si="8"/>
        <v>0.00000001407360342</v>
      </c>
      <c r="L79" s="14">
        <v>3196.08</v>
      </c>
      <c r="M79" s="4">
        <f t="shared" si="3"/>
        <v>9240.55468</v>
      </c>
      <c r="N79" s="4"/>
      <c r="O79" s="4"/>
      <c r="P79" s="4"/>
      <c r="Q79" s="4">
        <f t="shared" ref="Q79:S79" si="235">IF(E78=0,0,(E79-E78)/E78)</f>
        <v>-0.3426910566</v>
      </c>
      <c r="R79" s="4">
        <f t="shared" si="235"/>
        <v>-2</v>
      </c>
      <c r="S79" s="4">
        <f t="shared" si="235"/>
        <v>3.172947687</v>
      </c>
      <c r="T79" s="15">
        <v>3196.08</v>
      </c>
      <c r="U79" s="4"/>
      <c r="V79" s="4"/>
      <c r="W79" s="4"/>
      <c r="X79" s="4"/>
      <c r="Y79" s="4">
        <f t="shared" ref="Y79:Z79" si="236">(L79-L78)/L78</f>
        <v>0.006129175442</v>
      </c>
      <c r="Z79" s="4">
        <f t="shared" si="236"/>
        <v>0.01016532955</v>
      </c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</row>
    <row r="80" ht="14.25" customHeight="1">
      <c r="A80" s="7">
        <v>45322.0</v>
      </c>
      <c r="B80" s="8">
        <v>3026.0</v>
      </c>
      <c r="C80" s="8">
        <v>19.32</v>
      </c>
      <c r="D80" s="8">
        <v>11413.0</v>
      </c>
      <c r="E80" s="4">
        <f t="shared" ref="E80:G80" si="237">LN(B80/B79)</f>
        <v>-0.01703842005</v>
      </c>
      <c r="F80" s="4">
        <f t="shared" si="237"/>
        <v>-0.03459144477</v>
      </c>
      <c r="G80" s="4">
        <f t="shared" si="237"/>
        <v>0.02983703248</v>
      </c>
      <c r="H80" s="4">
        <f t="shared" si="2"/>
        <v>4771.2456</v>
      </c>
      <c r="I80" s="4">
        <f t="shared" si="6"/>
        <v>0.01975490505</v>
      </c>
      <c r="J80" s="4">
        <f t="shared" si="7"/>
        <v>0.01907484597</v>
      </c>
      <c r="K80" s="4">
        <f t="shared" si="8"/>
        <v>0.0000004624803478</v>
      </c>
      <c r="L80" s="9">
        <v>3214.19</v>
      </c>
      <c r="M80" s="4">
        <f t="shared" si="3"/>
        <v>9488.129491</v>
      </c>
      <c r="N80" s="4"/>
      <c r="O80" s="4"/>
      <c r="P80" s="4"/>
      <c r="Q80" s="4">
        <f t="shared" ref="Q80:S80" si="238">IF(E79=0,0,(E80-E79)/E79)</f>
        <v>-1.623300494</v>
      </c>
      <c r="R80" s="4">
        <f t="shared" si="238"/>
        <v>-5.924318995</v>
      </c>
      <c r="S80" s="4">
        <f t="shared" si="238"/>
        <v>2.410134623</v>
      </c>
      <c r="T80" s="11">
        <v>3214.19</v>
      </c>
      <c r="U80" s="4"/>
      <c r="V80" s="4"/>
      <c r="W80" s="4"/>
      <c r="X80" s="4"/>
      <c r="Y80" s="4">
        <f t="shared" ref="Y80:Z80" si="239">(L80-L79)/L79</f>
        <v>0.005666316237</v>
      </c>
      <c r="Z80" s="4">
        <f t="shared" si="239"/>
        <v>0.02679220245</v>
      </c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</row>
    <row r="81" ht="14.25" customHeight="1">
      <c r="A81" s="12">
        <v>45323.0</v>
      </c>
      <c r="B81" s="13">
        <v>3108.0</v>
      </c>
      <c r="C81" s="13">
        <v>18.94</v>
      </c>
      <c r="D81" s="13">
        <v>11373.0</v>
      </c>
      <c r="E81" s="4">
        <f t="shared" ref="E81:G81" si="240">LN(B81/B80)</f>
        <v>0.02673781714</v>
      </c>
      <c r="F81" s="4">
        <f t="shared" si="240"/>
        <v>-0.01986474103</v>
      </c>
      <c r="G81" s="4">
        <f t="shared" si="240"/>
        <v>-0.003510931369</v>
      </c>
      <c r="H81" s="4">
        <f t="shared" si="2"/>
        <v>4784.9802</v>
      </c>
      <c r="I81" s="4">
        <f t="shared" si="6"/>
        <v>0.002874484079</v>
      </c>
      <c r="J81" s="4">
        <f t="shared" si="7"/>
        <v>0.003126792158</v>
      </c>
      <c r="K81" s="4">
        <f t="shared" si="8"/>
        <v>0.00000006365936698</v>
      </c>
      <c r="L81" s="14">
        <v>3229.89</v>
      </c>
      <c r="M81" s="4">
        <f t="shared" si="3"/>
        <v>9475.460658</v>
      </c>
      <c r="N81" s="4"/>
      <c r="O81" s="4"/>
      <c r="P81" s="4"/>
      <c r="Q81" s="4">
        <f t="shared" ref="Q81:S81" si="241">IF(E80=0,0,(E81-E80)/E80)</f>
        <v>-2.569266227</v>
      </c>
      <c r="R81" s="4">
        <f t="shared" si="241"/>
        <v>-0.4257325429</v>
      </c>
      <c r="S81" s="4">
        <f t="shared" si="241"/>
        <v>-1.11767026</v>
      </c>
      <c r="T81" s="15">
        <v>3229.89</v>
      </c>
      <c r="U81" s="4"/>
      <c r="V81" s="4"/>
      <c r="W81" s="4"/>
      <c r="X81" s="4"/>
      <c r="Y81" s="4">
        <f t="shared" ref="Y81:Z81" si="242">(L81-L80)/L80</f>
        <v>0.004884589897</v>
      </c>
      <c r="Z81" s="4">
        <f t="shared" si="242"/>
        <v>-0.001335229767</v>
      </c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</row>
    <row r="82" ht="14.25" customHeight="1">
      <c r="A82" s="7">
        <v>45324.0</v>
      </c>
      <c r="B82" s="8">
        <v>3163.0</v>
      </c>
      <c r="C82" s="8">
        <v>19.07</v>
      </c>
      <c r="D82" s="8">
        <v>11295.0</v>
      </c>
      <c r="E82" s="4">
        <f t="shared" ref="E82:G82" si="243">LN(B82/B81)</f>
        <v>0.01754151182</v>
      </c>
      <c r="F82" s="4">
        <f t="shared" si="243"/>
        <v>0.006840331854</v>
      </c>
      <c r="G82" s="4">
        <f t="shared" si="243"/>
        <v>-0.006881975282</v>
      </c>
      <c r="H82" s="4">
        <f t="shared" si="2"/>
        <v>4777.4331</v>
      </c>
      <c r="I82" s="4">
        <f t="shared" si="6"/>
        <v>-0.001578493071</v>
      </c>
      <c r="J82" s="4">
        <f t="shared" si="7"/>
        <v>-0.001379780224</v>
      </c>
      <c r="K82" s="4">
        <f t="shared" si="8"/>
        <v>0.00000003948679565</v>
      </c>
      <c r="L82" s="9">
        <v>3226.35</v>
      </c>
      <c r="M82" s="4">
        <f t="shared" si="3"/>
        <v>9427.441337</v>
      </c>
      <c r="N82" s="4"/>
      <c r="O82" s="4"/>
      <c r="P82" s="4"/>
      <c r="Q82" s="4">
        <f t="shared" ref="Q82:S82" si="244">IF(E81=0,0,(E82-E81)/E81)</f>
        <v>-0.3439437585</v>
      </c>
      <c r="R82" s="4">
        <f t="shared" si="244"/>
        <v>-1.344345383</v>
      </c>
      <c r="S82" s="4">
        <f t="shared" si="244"/>
        <v>0.9601565963</v>
      </c>
      <c r="T82" s="11">
        <v>3226.35</v>
      </c>
      <c r="U82" s="4"/>
      <c r="V82" s="4"/>
      <c r="W82" s="4"/>
      <c r="X82" s="4"/>
      <c r="Y82" s="4">
        <f t="shared" ref="Y82:Z82" si="245">(L82-L81)/L81</f>
        <v>-0.001096012558</v>
      </c>
      <c r="Z82" s="4">
        <f t="shared" si="245"/>
        <v>-0.005067755861</v>
      </c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</row>
    <row r="83" ht="14.25" customHeight="1">
      <c r="A83" s="12">
        <v>45327.0</v>
      </c>
      <c r="B83" s="13">
        <v>3047.0</v>
      </c>
      <c r="C83" s="13">
        <v>19.12</v>
      </c>
      <c r="D83" s="13">
        <v>11320.0</v>
      </c>
      <c r="E83" s="4">
        <f t="shared" ref="E83:G83" si="246">LN(B83/B82)</f>
        <v>-0.03736344432</v>
      </c>
      <c r="F83" s="4">
        <f t="shared" si="246"/>
        <v>0.002618488011</v>
      </c>
      <c r="G83" s="4">
        <f t="shared" si="246"/>
        <v>0.002210922855</v>
      </c>
      <c r="H83" s="4">
        <f t="shared" si="2"/>
        <v>4747.4196</v>
      </c>
      <c r="I83" s="4">
        <f t="shared" si="6"/>
        <v>-0.006302165563</v>
      </c>
      <c r="J83" s="4">
        <f t="shared" si="7"/>
        <v>-0.006584466012</v>
      </c>
      <c r="K83" s="4">
        <f t="shared" si="8"/>
        <v>0.00000007969354353</v>
      </c>
      <c r="L83" s="14">
        <v>3226.79</v>
      </c>
      <c r="M83" s="4">
        <f t="shared" si="3"/>
        <v>9420.964164</v>
      </c>
      <c r="N83" s="4"/>
      <c r="O83" s="4"/>
      <c r="P83" s="4"/>
      <c r="Q83" s="4">
        <f t="shared" ref="Q83:S83" si="247">IF(E82=0,0,(E83-E82)/E82)</f>
        <v>-3.130001377</v>
      </c>
      <c r="R83" s="4">
        <f t="shared" si="247"/>
        <v>-0.6171986876</v>
      </c>
      <c r="S83" s="4">
        <f t="shared" si="247"/>
        <v>-1.32126283</v>
      </c>
      <c r="T83" s="15">
        <v>3226.79</v>
      </c>
      <c r="U83" s="4"/>
      <c r="V83" s="4"/>
      <c r="W83" s="4"/>
      <c r="X83" s="4"/>
      <c r="Y83" s="4">
        <f t="shared" ref="Y83:Z83" si="248">(L83-L82)/L82</f>
        <v>0.0001363770205</v>
      </c>
      <c r="Z83" s="4">
        <f t="shared" si="248"/>
        <v>-0.0006870552441</v>
      </c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</row>
    <row r="84" ht="14.25" customHeight="1">
      <c r="A84" s="7">
        <v>45328.0</v>
      </c>
      <c r="B84" s="8">
        <v>3108.6</v>
      </c>
      <c r="C84" s="8">
        <v>19.49</v>
      </c>
      <c r="D84" s="8">
        <v>11310.0</v>
      </c>
      <c r="E84" s="4">
        <f t="shared" ref="E84:G84" si="249">LN(B84/B83)</f>
        <v>0.02001496406</v>
      </c>
      <c r="F84" s="4">
        <f t="shared" si="249"/>
        <v>0.0191666059</v>
      </c>
      <c r="G84" s="4">
        <f t="shared" si="249"/>
        <v>-0.000883782647</v>
      </c>
      <c r="H84" s="4">
        <f t="shared" si="2"/>
        <v>4764.5697</v>
      </c>
      <c r="I84" s="4">
        <f t="shared" si="6"/>
        <v>0.003606000394</v>
      </c>
      <c r="J84" s="4">
        <f t="shared" si="7"/>
        <v>0.003868396698</v>
      </c>
      <c r="K84" s="4">
        <f t="shared" si="8"/>
        <v>0.00000006885181998</v>
      </c>
      <c r="L84" s="9">
        <v>3238.4</v>
      </c>
      <c r="M84" s="4">
        <f t="shared" si="3"/>
        <v>9426.936125</v>
      </c>
      <c r="N84" s="4"/>
      <c r="O84" s="4"/>
      <c r="P84" s="4"/>
      <c r="Q84" s="4">
        <f t="shared" ref="Q84:S84" si="250">IF(E83=0,0,(E84-E83)/E83)</f>
        <v>-1.535683057</v>
      </c>
      <c r="R84" s="4">
        <f t="shared" si="250"/>
        <v>6.319722609</v>
      </c>
      <c r="S84" s="4">
        <f t="shared" si="250"/>
        <v>-1.399734728</v>
      </c>
      <c r="T84" s="11">
        <v>3238.4</v>
      </c>
      <c r="U84" s="4"/>
      <c r="V84" s="4"/>
      <c r="W84" s="4"/>
      <c r="X84" s="4"/>
      <c r="Y84" s="4">
        <f t="shared" ref="Y84:Z84" si="251">(L84-L83)/L83</f>
        <v>0.003598002969</v>
      </c>
      <c r="Z84" s="4">
        <f t="shared" si="251"/>
        <v>0.000633901284</v>
      </c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</row>
    <row r="85" ht="14.25" customHeight="1">
      <c r="A85" s="12">
        <v>45329.0</v>
      </c>
      <c r="B85" s="13">
        <v>3325.0</v>
      </c>
      <c r="C85" s="13">
        <v>19.25</v>
      </c>
      <c r="D85" s="13">
        <v>11390.0</v>
      </c>
      <c r="E85" s="4">
        <f t="shared" ref="E85:G85" si="252">LN(B85/B84)</f>
        <v>0.06729721004</v>
      </c>
      <c r="F85" s="4">
        <f t="shared" si="252"/>
        <v>-0.01239045279</v>
      </c>
      <c r="G85" s="4">
        <f t="shared" si="252"/>
        <v>0.007048487331</v>
      </c>
      <c r="H85" s="4">
        <f t="shared" si="2"/>
        <v>4862.3025</v>
      </c>
      <c r="I85" s="4">
        <f t="shared" si="6"/>
        <v>0.02030486243</v>
      </c>
      <c r="J85" s="4">
        <f t="shared" si="7"/>
        <v>0.02033897616</v>
      </c>
      <c r="K85" s="4">
        <f t="shared" si="8"/>
        <v>0.000000001163747119</v>
      </c>
      <c r="L85" s="14">
        <v>3256.58</v>
      </c>
      <c r="M85" s="4">
        <f t="shared" si="3"/>
        <v>9536.833022</v>
      </c>
      <c r="N85" s="4"/>
      <c r="O85" s="4"/>
      <c r="P85" s="4"/>
      <c r="Q85" s="4">
        <f t="shared" ref="Q85:S85" si="253">IF(E84=0,0,(E85-E84)/E84)</f>
        <v>2.362344785</v>
      </c>
      <c r="R85" s="4">
        <f t="shared" si="253"/>
        <v>-1.646460456</v>
      </c>
      <c r="S85" s="4">
        <f t="shared" si="253"/>
        <v>-8.975362896</v>
      </c>
      <c r="T85" s="15">
        <v>3256.58</v>
      </c>
      <c r="U85" s="4"/>
      <c r="V85" s="4"/>
      <c r="W85" s="4"/>
      <c r="X85" s="4"/>
      <c r="Y85" s="4">
        <f t="shared" ref="Y85:Z85" si="254">(L85-L84)/L84</f>
        <v>0.005613883399</v>
      </c>
      <c r="Z85" s="4">
        <f t="shared" si="254"/>
        <v>0.01165775345</v>
      </c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</row>
    <row r="86" ht="14.25" customHeight="1">
      <c r="A86" s="7">
        <v>45330.0</v>
      </c>
      <c r="B86" s="8">
        <v>3306.2</v>
      </c>
      <c r="C86" s="8">
        <v>19.34</v>
      </c>
      <c r="D86" s="8">
        <v>11152.0</v>
      </c>
      <c r="E86" s="4">
        <f t="shared" ref="E86:G86" si="255">LN(B86/B85)</f>
        <v>-0.005670180471</v>
      </c>
      <c r="F86" s="4">
        <f t="shared" si="255"/>
        <v>0.004664429291</v>
      </c>
      <c r="G86" s="4">
        <f t="shared" si="255"/>
        <v>-0.02111692344</v>
      </c>
      <c r="H86" s="4">
        <f t="shared" si="2"/>
        <v>4777.5882</v>
      </c>
      <c r="I86" s="4">
        <f t="shared" si="6"/>
        <v>-0.01757623265</v>
      </c>
      <c r="J86" s="4">
        <f t="shared" si="7"/>
        <v>-0.01754636431</v>
      </c>
      <c r="K86" s="4">
        <f t="shared" si="8"/>
        <v>0.0000000008921180738</v>
      </c>
      <c r="L86" s="9">
        <v>3241.81</v>
      </c>
      <c r="M86" s="4">
        <f t="shared" si="3"/>
        <v>9348.824372</v>
      </c>
      <c r="N86" s="4"/>
      <c r="O86" s="4"/>
      <c r="P86" s="4"/>
      <c r="Q86" s="4">
        <f t="shared" ref="Q86:S86" si="256">IF(E85=0,0,(E86-E85)/E85)</f>
        <v>-1.084255803</v>
      </c>
      <c r="R86" s="4">
        <f t="shared" si="256"/>
        <v>-1.376453498</v>
      </c>
      <c r="S86" s="4">
        <f t="shared" si="256"/>
        <v>-3.99595111</v>
      </c>
      <c r="T86" s="11">
        <v>3241.81</v>
      </c>
      <c r="U86" s="4"/>
      <c r="V86" s="4"/>
      <c r="W86" s="4"/>
      <c r="X86" s="4"/>
      <c r="Y86" s="4">
        <f t="shared" ref="Y86:Z86" si="257">(L86-L85)/L85</f>
        <v>-0.004535432877</v>
      </c>
      <c r="Z86" s="4">
        <f t="shared" si="257"/>
        <v>-0.01971395009</v>
      </c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</row>
    <row r="87" ht="14.25" customHeight="1">
      <c r="A87" s="12">
        <v>45331.0</v>
      </c>
      <c r="B87" s="13">
        <v>3290.4</v>
      </c>
      <c r="C87" s="13">
        <v>19.54</v>
      </c>
      <c r="D87" s="13">
        <v>11167.0</v>
      </c>
      <c r="E87" s="4">
        <f t="shared" ref="E87:G87" si="258">LN(B87/B86)</f>
        <v>-0.004790355703</v>
      </c>
      <c r="F87" s="4">
        <f t="shared" si="258"/>
        <v>0.01028815659</v>
      </c>
      <c r="G87" s="4">
        <f t="shared" si="258"/>
        <v>0.001344146445</v>
      </c>
      <c r="H87" s="4">
        <f t="shared" si="2"/>
        <v>4777.3902</v>
      </c>
      <c r="I87" s="4">
        <f t="shared" si="6"/>
        <v>-0.00004144436371</v>
      </c>
      <c r="J87" s="4">
        <f t="shared" si="7"/>
        <v>0.00002783826128</v>
      </c>
      <c r="K87" s="4">
        <f t="shared" si="8"/>
        <v>0.000000004800082125</v>
      </c>
      <c r="L87" s="14">
        <v>3242.38</v>
      </c>
      <c r="M87" s="4">
        <f t="shared" si="3"/>
        <v>9356.898938</v>
      </c>
      <c r="N87" s="4"/>
      <c r="O87" s="4"/>
      <c r="P87" s="4"/>
      <c r="Q87" s="4">
        <f t="shared" ref="Q87:S87" si="259">IF(E86=0,0,(E87-E86)/E86)</f>
        <v>-0.155166978</v>
      </c>
      <c r="R87" s="4">
        <f t="shared" si="259"/>
        <v>1.205662461</v>
      </c>
      <c r="S87" s="4">
        <f t="shared" si="259"/>
        <v>-1.06365257</v>
      </c>
      <c r="T87" s="15">
        <v>3242.38</v>
      </c>
      <c r="U87" s="4"/>
      <c r="V87" s="4"/>
      <c r="W87" s="4"/>
      <c r="X87" s="4"/>
      <c r="Y87" s="4">
        <f t="shared" ref="Y87:Z87" si="260">(L87-L86)/L86</f>
        <v>0.0001758277012</v>
      </c>
      <c r="Z87" s="4">
        <f t="shared" si="260"/>
        <v>0.0008636984992</v>
      </c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</row>
    <row r="88" ht="14.25" customHeight="1">
      <c r="A88" s="7">
        <v>45334.0</v>
      </c>
      <c r="B88" s="8">
        <v>3304.6</v>
      </c>
      <c r="C88" s="8">
        <v>19.88</v>
      </c>
      <c r="D88" s="8">
        <v>11111.0</v>
      </c>
      <c r="E88" s="4">
        <f t="shared" ref="E88:G88" si="261">LN(B88/B87)</f>
        <v>0.004306299301</v>
      </c>
      <c r="F88" s="4">
        <f t="shared" si="261"/>
        <v>0.01725055461</v>
      </c>
      <c r="G88" s="4">
        <f t="shared" si="261"/>
        <v>-0.005027391862</v>
      </c>
      <c r="H88" s="4">
        <f t="shared" si="2"/>
        <v>4763.7084</v>
      </c>
      <c r="I88" s="4">
        <f t="shared" si="6"/>
        <v>-0.002867973585</v>
      </c>
      <c r="J88" s="4">
        <f t="shared" si="7"/>
        <v>-0.002834363758</v>
      </c>
      <c r="K88" s="4">
        <f t="shared" si="8"/>
        <v>0.000000001129620487</v>
      </c>
      <c r="L88" s="9">
        <v>3248.5</v>
      </c>
      <c r="M88" s="4">
        <f t="shared" si="3"/>
        <v>9316.803388</v>
      </c>
      <c r="N88" s="4"/>
      <c r="O88" s="4"/>
      <c r="P88" s="4"/>
      <c r="Q88" s="4">
        <f t="shared" ref="Q88:S88" si="262">IF(E87=0,0,(E88-E87)/E87)</f>
        <v>-1.898951887</v>
      </c>
      <c r="R88" s="4">
        <f t="shared" si="262"/>
        <v>0.6767391188</v>
      </c>
      <c r="S88" s="4">
        <f t="shared" si="262"/>
        <v>-4.740211402</v>
      </c>
      <c r="T88" s="11">
        <v>3248.5</v>
      </c>
      <c r="U88" s="4"/>
      <c r="V88" s="4"/>
      <c r="W88" s="4"/>
      <c r="X88" s="4"/>
      <c r="Y88" s="4">
        <f t="shared" ref="Y88:Z88" si="263">(L88-L87)/L87</f>
        <v>0.00188750239</v>
      </c>
      <c r="Z88" s="4">
        <f t="shared" si="263"/>
        <v>-0.004285132276</v>
      </c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</row>
    <row r="89" ht="14.25" customHeight="1">
      <c r="A89" s="12">
        <v>45335.0</v>
      </c>
      <c r="B89" s="13">
        <v>3477.0</v>
      </c>
      <c r="C89" s="13">
        <v>19.63</v>
      </c>
      <c r="D89" s="13">
        <v>11080.0</v>
      </c>
      <c r="E89" s="4">
        <f t="shared" ref="E89:G89" si="264">LN(B89/B88)</f>
        <v>0.05085441579</v>
      </c>
      <c r="F89" s="4">
        <f t="shared" si="264"/>
        <v>-0.01265519294</v>
      </c>
      <c r="G89" s="4">
        <f t="shared" si="264"/>
        <v>-0.002793927283</v>
      </c>
      <c r="H89" s="4">
        <f t="shared" si="2"/>
        <v>4810.2879</v>
      </c>
      <c r="I89" s="4">
        <f t="shared" si="6"/>
        <v>0.009730496245</v>
      </c>
      <c r="J89" s="4">
        <f t="shared" si="7"/>
        <v>0.009080046267</v>
      </c>
      <c r="K89" s="4">
        <f t="shared" si="8"/>
        <v>0.0000004230851735</v>
      </c>
      <c r="L89" s="14">
        <v>3254.6</v>
      </c>
      <c r="M89" s="4">
        <f t="shared" si="3"/>
        <v>9331.183095</v>
      </c>
      <c r="N89" s="4"/>
      <c r="O89" s="4"/>
      <c r="P89" s="4"/>
      <c r="Q89" s="4">
        <f t="shared" ref="Q89:S89" si="265">IF(E88=0,0,(E89-E88)/E88)</f>
        <v>10.80930823</v>
      </c>
      <c r="R89" s="4">
        <f t="shared" si="265"/>
        <v>-1.733610787</v>
      </c>
      <c r="S89" s="4">
        <f t="shared" si="265"/>
        <v>-0.444259099</v>
      </c>
      <c r="T89" s="15">
        <v>3254.6</v>
      </c>
      <c r="U89" s="4"/>
      <c r="V89" s="4"/>
      <c r="W89" s="4"/>
      <c r="X89" s="4"/>
      <c r="Y89" s="4">
        <f t="shared" ref="Y89:Z89" si="266">(L89-L88)/L88</f>
        <v>0.001877789749</v>
      </c>
      <c r="Z89" s="4">
        <f t="shared" si="266"/>
        <v>0.001543416376</v>
      </c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</row>
    <row r="90" ht="14.25" customHeight="1">
      <c r="A90" s="7">
        <v>45336.0</v>
      </c>
      <c r="B90" s="8">
        <v>3439.4</v>
      </c>
      <c r="C90" s="8">
        <v>19.61</v>
      </c>
      <c r="D90" s="8">
        <v>10999.0</v>
      </c>
      <c r="E90" s="4">
        <f t="shared" ref="E90:G90" si="267">LN(B90/B89)</f>
        <v>-0.01087281546</v>
      </c>
      <c r="F90" s="4">
        <f t="shared" si="267"/>
        <v>-0.00101936808</v>
      </c>
      <c r="G90" s="4">
        <f t="shared" si="267"/>
        <v>-0.007337321744</v>
      </c>
      <c r="H90" s="4">
        <f t="shared" si="2"/>
        <v>4771.1433</v>
      </c>
      <c r="I90" s="4">
        <f t="shared" si="6"/>
        <v>-0.008170975081</v>
      </c>
      <c r="J90" s="4">
        <f t="shared" si="7"/>
        <v>-0.008089781661</v>
      </c>
      <c r="K90" s="4">
        <f t="shared" si="8"/>
        <v>0.000000006592371549</v>
      </c>
      <c r="L90" s="9">
        <v>3258.14</v>
      </c>
      <c r="M90" s="4">
        <f t="shared" si="3"/>
        <v>9260.260423</v>
      </c>
      <c r="N90" s="4"/>
      <c r="O90" s="4"/>
      <c r="P90" s="4"/>
      <c r="Q90" s="4">
        <f t="shared" ref="Q90:S90" si="268">IF(E89=0,0,(E90-E89)/E89)</f>
        <v>-1.21380278</v>
      </c>
      <c r="R90" s="4">
        <f t="shared" si="268"/>
        <v>-0.9194506093</v>
      </c>
      <c r="S90" s="4">
        <f t="shared" si="268"/>
        <v>1.626167757</v>
      </c>
      <c r="T90" s="11">
        <v>3258.14</v>
      </c>
      <c r="U90" s="4"/>
      <c r="V90" s="4"/>
      <c r="W90" s="4"/>
      <c r="X90" s="4"/>
      <c r="Y90" s="4">
        <f t="shared" ref="Y90:Z90" si="269">(L90-L89)/L89</f>
        <v>0.001087691268</v>
      </c>
      <c r="Z90" s="4">
        <f t="shared" si="269"/>
        <v>-0.007600608721</v>
      </c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</row>
    <row r="91" ht="14.25" customHeight="1">
      <c r="A91" s="12">
        <v>45337.0</v>
      </c>
      <c r="B91" s="13">
        <v>3444.2</v>
      </c>
      <c r="C91" s="13">
        <v>19.68</v>
      </c>
      <c r="D91" s="13">
        <v>11038.0</v>
      </c>
      <c r="E91" s="4">
        <f t="shared" ref="E91:G91" si="270">LN(B91/B90)</f>
        <v>0.001394619321</v>
      </c>
      <c r="F91" s="4">
        <f t="shared" si="270"/>
        <v>0.003563251416</v>
      </c>
      <c r="G91" s="4">
        <f t="shared" si="270"/>
        <v>0.003539505442</v>
      </c>
      <c r="H91" s="4">
        <f t="shared" si="2"/>
        <v>4785.6204</v>
      </c>
      <c r="I91" s="4">
        <f t="shared" si="6"/>
        <v>0.003029709958</v>
      </c>
      <c r="J91" s="4">
        <f t="shared" si="7"/>
        <v>0.003062814055</v>
      </c>
      <c r="K91" s="4">
        <f t="shared" si="8"/>
        <v>0.000000001095881244</v>
      </c>
      <c r="L91" s="14">
        <v>3265.63</v>
      </c>
      <c r="M91" s="4">
        <f t="shared" si="3"/>
        <v>9291.451227</v>
      </c>
      <c r="N91" s="4"/>
      <c r="O91" s="4"/>
      <c r="P91" s="4"/>
      <c r="Q91" s="4">
        <f t="shared" ref="Q91:S91" si="271">IF(E90=0,0,(E91-E90)/E90)</f>
        <v>-1.128266623</v>
      </c>
      <c r="R91" s="4">
        <f t="shared" si="271"/>
        <v>-4.495549336</v>
      </c>
      <c r="S91" s="4">
        <f t="shared" si="271"/>
        <v>-1.48239747</v>
      </c>
      <c r="T91" s="15">
        <v>3265.63</v>
      </c>
      <c r="U91" s="4"/>
      <c r="V91" s="4"/>
      <c r="W91" s="4"/>
      <c r="X91" s="4"/>
      <c r="Y91" s="4">
        <f t="shared" ref="Y91:Z91" si="272">(L91-L90)/L90</f>
        <v>0.00229885763</v>
      </c>
      <c r="Z91" s="4">
        <f t="shared" si="272"/>
        <v>0.003368242564</v>
      </c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</row>
    <row r="92" ht="14.25" customHeight="1">
      <c r="A92" s="7">
        <v>45338.0</v>
      </c>
      <c r="B92" s="8">
        <v>3417.0</v>
      </c>
      <c r="C92" s="8">
        <v>19.95</v>
      </c>
      <c r="D92" s="8">
        <v>10846.0</v>
      </c>
      <c r="E92" s="4">
        <f t="shared" ref="E92:G92" si="273">LN(B92/B91)</f>
        <v>-0.007928683756</v>
      </c>
      <c r="F92" s="4">
        <f t="shared" si="273"/>
        <v>0.01362625171</v>
      </c>
      <c r="G92" s="4">
        <f t="shared" si="273"/>
        <v>-0.0175475166</v>
      </c>
      <c r="H92" s="4">
        <f t="shared" si="2"/>
        <v>4713.3735</v>
      </c>
      <c r="I92" s="4">
        <f t="shared" si="6"/>
        <v>-0.01521177799</v>
      </c>
      <c r="J92" s="4">
        <f t="shared" si="7"/>
        <v>-0.01524393811</v>
      </c>
      <c r="K92" s="4">
        <f t="shared" si="8"/>
        <v>0.000000001034273743</v>
      </c>
      <c r="L92" s="9">
        <v>3242.48</v>
      </c>
      <c r="M92" s="4">
        <f t="shared" si="3"/>
        <v>9137.106306</v>
      </c>
      <c r="N92" s="4"/>
      <c r="O92" s="4"/>
      <c r="P92" s="4"/>
      <c r="Q92" s="4">
        <f t="shared" ref="Q92:S92" si="274">IF(E91=0,0,(E92-E91)/E91)</f>
        <v>-6.685195693</v>
      </c>
      <c r="R92" s="4">
        <f t="shared" si="274"/>
        <v>2.824106166</v>
      </c>
      <c r="S92" s="4">
        <f t="shared" si="274"/>
        <v>-5.9576182</v>
      </c>
      <c r="T92" s="11">
        <v>3242.48</v>
      </c>
      <c r="U92" s="4"/>
      <c r="V92" s="4"/>
      <c r="W92" s="4"/>
      <c r="X92" s="4"/>
      <c r="Y92" s="4">
        <f t="shared" ref="Y92:Z92" si="275">(L92-L91)/L91</f>
        <v>-0.007088984361</v>
      </c>
      <c r="Z92" s="4">
        <f t="shared" si="275"/>
        <v>-0.0166114977</v>
      </c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</row>
    <row r="93" ht="14.25" customHeight="1">
      <c r="A93" s="12">
        <v>45341.0</v>
      </c>
      <c r="B93" s="13">
        <v>3310.4</v>
      </c>
      <c r="C93" s="13">
        <v>19.89</v>
      </c>
      <c r="D93" s="13">
        <v>10927.5</v>
      </c>
      <c r="E93" s="4">
        <f t="shared" ref="E93:G93" si="276">LN(B93/B92)</f>
        <v>-0.03169394512</v>
      </c>
      <c r="F93" s="4">
        <f t="shared" si="276"/>
        <v>-0.00301205047</v>
      </c>
      <c r="G93" s="4">
        <f t="shared" si="276"/>
        <v>0.007486199336</v>
      </c>
      <c r="H93" s="4">
        <f t="shared" si="2"/>
        <v>4705.0707</v>
      </c>
      <c r="I93" s="4">
        <f t="shared" si="6"/>
        <v>-0.001763094196</v>
      </c>
      <c r="J93" s="4">
        <f t="shared" si="7"/>
        <v>-0.001279370527</v>
      </c>
      <c r="K93" s="4">
        <f t="shared" si="8"/>
        <v>0.0000002339885876</v>
      </c>
      <c r="L93" s="14">
        <v>3244.56</v>
      </c>
      <c r="M93" s="4">
        <f t="shared" si="3"/>
        <v>9176.358479</v>
      </c>
      <c r="N93" s="4"/>
      <c r="O93" s="4"/>
      <c r="P93" s="4"/>
      <c r="Q93" s="4">
        <f t="shared" ref="Q93:S93" si="277">IF(E92=0,0,(E93-E92)/E92)</f>
        <v>2.997377888</v>
      </c>
      <c r="R93" s="4">
        <f t="shared" si="277"/>
        <v>-1.221047617</v>
      </c>
      <c r="S93" s="4">
        <f t="shared" si="277"/>
        <v>-1.426624434</v>
      </c>
      <c r="T93" s="15">
        <v>3244.56</v>
      </c>
      <c r="U93" s="4"/>
      <c r="V93" s="4"/>
      <c r="W93" s="4"/>
      <c r="X93" s="4"/>
      <c r="Y93" s="4">
        <f t="shared" ref="Y93:Z93" si="278">(L93-L92)/L92</f>
        <v>0.000641484296</v>
      </c>
      <c r="Z93" s="4">
        <f t="shared" si="278"/>
        <v>0.004295908555</v>
      </c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</row>
    <row r="94" ht="14.25" customHeight="1">
      <c r="A94" s="7">
        <v>45342.0</v>
      </c>
      <c r="B94" s="8">
        <v>3314.6</v>
      </c>
      <c r="C94" s="8">
        <v>19.76</v>
      </c>
      <c r="D94" s="8">
        <v>10735.5</v>
      </c>
      <c r="E94" s="4">
        <f t="shared" ref="E94:G94" si="279">LN(B94/B93)</f>
        <v>0.001267924698</v>
      </c>
      <c r="F94" s="4">
        <f t="shared" si="279"/>
        <v>-0.006557400546</v>
      </c>
      <c r="G94" s="4">
        <f t="shared" si="279"/>
        <v>-0.01772654089</v>
      </c>
      <c r="H94" s="4">
        <f t="shared" si="2"/>
        <v>4643.0538</v>
      </c>
      <c r="I94" s="4">
        <f t="shared" si="6"/>
        <v>-0.01326850319</v>
      </c>
      <c r="J94" s="4">
        <f t="shared" si="7"/>
        <v>-0.01344477623</v>
      </c>
      <c r="K94" s="4">
        <f t="shared" si="8"/>
        <v>0.00000003107218538</v>
      </c>
      <c r="L94" s="9">
        <v>3207.49</v>
      </c>
      <c r="M94" s="4">
        <f t="shared" si="3"/>
        <v>9028.991791</v>
      </c>
      <c r="N94" s="4"/>
      <c r="O94" s="4"/>
      <c r="P94" s="4"/>
      <c r="Q94" s="4">
        <f t="shared" ref="Q94:S94" si="280">IF(E93=0,0,(E94-E93)/E93)</f>
        <v>-1.040005266</v>
      </c>
      <c r="R94" s="4">
        <f t="shared" si="280"/>
        <v>1.177055335</v>
      </c>
      <c r="S94" s="4">
        <f t="shared" si="280"/>
        <v>-3.367895923</v>
      </c>
      <c r="T94" s="11">
        <v>3207.49</v>
      </c>
      <c r="U94" s="4"/>
      <c r="V94" s="4"/>
      <c r="W94" s="4"/>
      <c r="X94" s="4"/>
      <c r="Y94" s="4">
        <f t="shared" ref="Y94:Z94" si="281">(L94-L93)/L93</f>
        <v>-0.011425278</v>
      </c>
      <c r="Z94" s="4">
        <f t="shared" si="281"/>
        <v>-0.01605938658</v>
      </c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</row>
    <row r="95" ht="14.25" customHeight="1">
      <c r="A95" s="12">
        <v>45343.0</v>
      </c>
      <c r="B95" s="13">
        <v>3246.2</v>
      </c>
      <c r="C95" s="13">
        <v>20.1</v>
      </c>
      <c r="D95" s="13">
        <v>10728.0</v>
      </c>
      <c r="E95" s="4">
        <f t="shared" ref="E95:G95" si="282">LN(B95/B94)</f>
        <v>-0.02085187122</v>
      </c>
      <c r="F95" s="4">
        <f t="shared" si="282"/>
        <v>0.01706012275</v>
      </c>
      <c r="G95" s="4">
        <f t="shared" si="282"/>
        <v>-0.0006988608852</v>
      </c>
      <c r="H95" s="4">
        <f t="shared" si="2"/>
        <v>4618.119</v>
      </c>
      <c r="I95" s="4">
        <f t="shared" si="6"/>
        <v>-0.005384816975</v>
      </c>
      <c r="J95" s="4">
        <f t="shared" si="7"/>
        <v>-0.005084809326</v>
      </c>
      <c r="K95" s="4">
        <f t="shared" si="8"/>
        <v>0.00000009000458958</v>
      </c>
      <c r="L95" s="14">
        <v>3139.5</v>
      </c>
      <c r="M95" s="4">
        <f t="shared" si="3"/>
        <v>9007.995027</v>
      </c>
      <c r="N95" s="4"/>
      <c r="O95" s="4"/>
      <c r="P95" s="4"/>
      <c r="Q95" s="4">
        <f t="shared" ref="Q95:S95" si="283">IF(E94=0,0,(E95-E94)/E94)</f>
        <v>-17.44567004</v>
      </c>
      <c r="R95" s="4">
        <f t="shared" si="283"/>
        <v>-3.601659396</v>
      </c>
      <c r="S95" s="4">
        <f t="shared" si="283"/>
        <v>-0.9605754507</v>
      </c>
      <c r="T95" s="15">
        <v>3139.5</v>
      </c>
      <c r="U95" s="4"/>
      <c r="V95" s="4"/>
      <c r="W95" s="4"/>
      <c r="X95" s="4"/>
      <c r="Y95" s="4">
        <f t="shared" ref="Y95:Z95" si="284">(L95-L94)/L94</f>
        <v>-0.02119726016</v>
      </c>
      <c r="Z95" s="4">
        <f t="shared" si="284"/>
        <v>-0.002325482632</v>
      </c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</row>
    <row r="96" ht="14.25" customHeight="1">
      <c r="A96" s="7">
        <v>45344.0</v>
      </c>
      <c r="B96" s="8">
        <v>3241.8</v>
      </c>
      <c r="C96" s="8">
        <v>20.46</v>
      </c>
      <c r="D96" s="8">
        <v>10774.0</v>
      </c>
      <c r="E96" s="4">
        <f t="shared" ref="E96:G96" si="285">LN(B96/B95)</f>
        <v>-0.001356350393</v>
      </c>
      <c r="F96" s="4">
        <f t="shared" si="285"/>
        <v>0.01775194546</v>
      </c>
      <c r="G96" s="4">
        <f t="shared" si="285"/>
        <v>0.004278678279</v>
      </c>
      <c r="H96" s="4">
        <f t="shared" si="2"/>
        <v>4631.9658</v>
      </c>
      <c r="I96" s="4">
        <f t="shared" si="6"/>
        <v>0.002993877492</v>
      </c>
      <c r="J96" s="4">
        <f t="shared" si="7"/>
        <v>0.003097417521</v>
      </c>
      <c r="K96" s="4">
        <f t="shared" si="8"/>
        <v>0.00000001072053746</v>
      </c>
      <c r="L96" s="9">
        <v>3142.3</v>
      </c>
      <c r="M96" s="4">
        <f t="shared" si="3"/>
        <v>9042.548928</v>
      </c>
      <c r="N96" s="4"/>
      <c r="O96" s="4"/>
      <c r="P96" s="4"/>
      <c r="Q96" s="4">
        <f t="shared" ref="Q96:S96" si="286">IF(E95=0,0,(E96-E95)/E95)</f>
        <v>-0.9349530611</v>
      </c>
      <c r="R96" s="4">
        <f t="shared" si="286"/>
        <v>0.04055203608</v>
      </c>
      <c r="S96" s="4">
        <f t="shared" si="286"/>
        <v>-7.1223605</v>
      </c>
      <c r="T96" s="11">
        <v>3142.3</v>
      </c>
      <c r="U96" s="4"/>
      <c r="V96" s="4"/>
      <c r="W96" s="4"/>
      <c r="X96" s="4"/>
      <c r="Y96" s="4">
        <f t="shared" ref="Y96:Z96" si="287">(L96-L95)/L95</f>
        <v>0.0008918617614</v>
      </c>
      <c r="Z96" s="4">
        <f t="shared" si="287"/>
        <v>0.003835914731</v>
      </c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</row>
    <row r="97" ht="14.25" customHeight="1">
      <c r="A97" s="12">
        <v>45348.0</v>
      </c>
      <c r="B97" s="13">
        <v>3404.8</v>
      </c>
      <c r="C97" s="13">
        <v>18.98</v>
      </c>
      <c r="D97" s="13">
        <v>11002.0</v>
      </c>
      <c r="E97" s="4">
        <f t="shared" ref="E97:G97" si="288">LN(B97/B96)</f>
        <v>0.04905746963</v>
      </c>
      <c r="F97" s="4">
        <f t="shared" si="288"/>
        <v>-0.07508596734</v>
      </c>
      <c r="G97" s="4">
        <f t="shared" si="288"/>
        <v>0.02094125019</v>
      </c>
      <c r="H97" s="4">
        <f t="shared" si="2"/>
        <v>4760.5074</v>
      </c>
      <c r="I97" s="4">
        <f t="shared" si="6"/>
        <v>0.02737290238</v>
      </c>
      <c r="J97" s="4">
        <f t="shared" si="7"/>
        <v>0.02668250613</v>
      </c>
      <c r="K97" s="4">
        <f t="shared" si="8"/>
        <v>0.0000004766469766</v>
      </c>
      <c r="L97" s="14">
        <v>3213.17</v>
      </c>
      <c r="M97" s="4">
        <f t="shared" si="3"/>
        <v>9254.882539</v>
      </c>
      <c r="N97" s="4"/>
      <c r="O97" s="4"/>
      <c r="P97" s="4"/>
      <c r="Q97" s="4">
        <f t="shared" ref="Q97:S97" si="289">IF(E96=0,0,(E97-E96)/E96)</f>
        <v>-37.16872888</v>
      </c>
      <c r="R97" s="4">
        <f t="shared" si="289"/>
        <v>-5.229731751</v>
      </c>
      <c r="S97" s="4">
        <f t="shared" si="289"/>
        <v>3.894326899</v>
      </c>
      <c r="T97" s="15">
        <v>3213.17</v>
      </c>
      <c r="U97" s="4"/>
      <c r="V97" s="4"/>
      <c r="W97" s="4"/>
      <c r="X97" s="4"/>
      <c r="Y97" s="4">
        <f t="shared" ref="Y97:Z97" si="290">(L97-L96)/L96</f>
        <v>0.02255354358</v>
      </c>
      <c r="Z97" s="4">
        <f t="shared" si="290"/>
        <v>0.0234816104</v>
      </c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</row>
    <row r="98" ht="14.25" customHeight="1">
      <c r="A98" s="7">
        <v>45349.0</v>
      </c>
      <c r="B98" s="8">
        <v>3365.8</v>
      </c>
      <c r="C98" s="8">
        <v>19.27</v>
      </c>
      <c r="D98" s="8">
        <v>10904.5</v>
      </c>
      <c r="E98" s="4">
        <f t="shared" ref="E98:G98" si="291">LN(B98/B97)</f>
        <v>-0.01152052443</v>
      </c>
      <c r="F98" s="4">
        <f t="shared" si="291"/>
        <v>0.01516368924</v>
      </c>
      <c r="G98" s="4">
        <f t="shared" si="291"/>
        <v>-0.008901526378</v>
      </c>
      <c r="H98" s="4">
        <f t="shared" si="2"/>
        <v>4715.5581</v>
      </c>
      <c r="I98" s="4">
        <f t="shared" si="6"/>
        <v>-0.009486983206</v>
      </c>
      <c r="J98" s="4">
        <f t="shared" si="7"/>
        <v>-0.009356156361</v>
      </c>
      <c r="K98" s="4">
        <f t="shared" si="8"/>
        <v>0.00000001711566333</v>
      </c>
      <c r="L98" s="9">
        <v>3208.99</v>
      </c>
      <c r="M98" s="4">
        <f t="shared" si="3"/>
        <v>9170.905782</v>
      </c>
      <c r="N98" s="4"/>
      <c r="O98" s="4"/>
      <c r="P98" s="4"/>
      <c r="Q98" s="4">
        <f t="shared" ref="Q98:S98" si="292">IF(E97=0,0,(E98-E97)/E97)</f>
        <v>-1.234837315</v>
      </c>
      <c r="R98" s="4">
        <f t="shared" si="292"/>
        <v>-1.201951041</v>
      </c>
      <c r="S98" s="4">
        <f t="shared" si="292"/>
        <v>-1.425071392</v>
      </c>
      <c r="T98" s="11">
        <v>3208.99</v>
      </c>
      <c r="U98" s="4"/>
      <c r="V98" s="4"/>
      <c r="W98" s="4"/>
      <c r="X98" s="4"/>
      <c r="Y98" s="4">
        <f t="shared" ref="Y98:Z98" si="293">(L98-L97)/L97</f>
        <v>-0.001300896</v>
      </c>
      <c r="Z98" s="4">
        <f t="shared" si="293"/>
        <v>-0.009073778858</v>
      </c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</row>
    <row r="99" ht="14.25" customHeight="1">
      <c r="A99" s="12">
        <v>45350.0</v>
      </c>
      <c r="B99" s="13">
        <v>3375.8</v>
      </c>
      <c r="C99" s="13">
        <v>18.98</v>
      </c>
      <c r="D99" s="13">
        <v>11045.5</v>
      </c>
      <c r="E99" s="4">
        <f t="shared" ref="E99:G99" si="294">LN(B99/B98)</f>
        <v>0.002966656976</v>
      </c>
      <c r="F99" s="4">
        <f t="shared" si="294"/>
        <v>-0.01516368924</v>
      </c>
      <c r="G99" s="4">
        <f t="shared" si="294"/>
        <v>0.01284755712</v>
      </c>
      <c r="H99" s="4">
        <f t="shared" si="2"/>
        <v>4765.2924</v>
      </c>
      <c r="I99" s="4">
        <f t="shared" si="6"/>
        <v>0.01049162334</v>
      </c>
      <c r="J99" s="4">
        <f t="shared" si="7"/>
        <v>0.01050248642</v>
      </c>
      <c r="K99" s="4">
        <f t="shared" si="8"/>
        <v>0.0000000001180065256</v>
      </c>
      <c r="L99" s="14">
        <v>3227.05</v>
      </c>
      <c r="M99" s="4">
        <f t="shared" si="3"/>
        <v>9282.034862</v>
      </c>
      <c r="N99" s="4"/>
      <c r="O99" s="4"/>
      <c r="P99" s="4"/>
      <c r="Q99" s="4">
        <f t="shared" ref="Q99:S99" si="295">IF(E98=0,0,(E99-E98)/E98)</f>
        <v>-1.257510584</v>
      </c>
      <c r="R99" s="4">
        <f t="shared" si="295"/>
        <v>-2</v>
      </c>
      <c r="S99" s="4">
        <f t="shared" si="295"/>
        <v>-2.443298214</v>
      </c>
      <c r="T99" s="15">
        <v>3227.05</v>
      </c>
      <c r="U99" s="4"/>
      <c r="V99" s="4"/>
      <c r="W99" s="4"/>
      <c r="X99" s="4"/>
      <c r="Y99" s="4">
        <f t="shared" ref="Y99:Z99" si="296">(L99-L98)/L98</f>
        <v>0.005627939009</v>
      </c>
      <c r="Z99" s="4">
        <f t="shared" si="296"/>
        <v>0.01211756862</v>
      </c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</row>
    <row r="100" ht="14.25" customHeight="1">
      <c r="A100" s="7">
        <v>45351.0</v>
      </c>
      <c r="B100" s="8">
        <v>3383.0</v>
      </c>
      <c r="C100" s="8">
        <v>19.24</v>
      </c>
      <c r="D100" s="8">
        <v>11014.0</v>
      </c>
      <c r="E100" s="4">
        <f t="shared" ref="E100:G100" si="297">LN(B100/B99)</f>
        <v>0.002130556526</v>
      </c>
      <c r="F100" s="4">
        <f t="shared" si="297"/>
        <v>0.01360565206</v>
      </c>
      <c r="G100" s="4">
        <f t="shared" si="297"/>
        <v>-0.00285591436</v>
      </c>
      <c r="H100" s="4">
        <f t="shared" si="2"/>
        <v>4757.3592</v>
      </c>
      <c r="I100" s="4">
        <f t="shared" si="6"/>
        <v>-0.001666174962</v>
      </c>
      <c r="J100" s="4">
        <f t="shared" si="7"/>
        <v>-0.001660127934</v>
      </c>
      <c r="K100" s="4">
        <f t="shared" si="8"/>
        <v>0</v>
      </c>
      <c r="L100" s="9">
        <v>3256.8</v>
      </c>
      <c r="M100" s="4">
        <f t="shared" si="3"/>
        <v>9259.306415</v>
      </c>
      <c r="N100" s="4"/>
      <c r="O100" s="4"/>
      <c r="P100" s="4"/>
      <c r="Q100" s="4">
        <f t="shared" ref="Q100:S100" si="298">IF(E99=0,0,(E100-E99)/E99)</f>
        <v>-0.281832533</v>
      </c>
      <c r="R100" s="4">
        <f t="shared" si="298"/>
        <v>-1.897252102</v>
      </c>
      <c r="S100" s="4">
        <f t="shared" si="298"/>
        <v>-1.222292404</v>
      </c>
      <c r="T100" s="11">
        <v>3256.8</v>
      </c>
      <c r="U100" s="4"/>
      <c r="V100" s="4"/>
      <c r="W100" s="4"/>
      <c r="X100" s="4"/>
      <c r="Y100" s="4">
        <f t="shared" ref="Y100:Z100" si="299">(L100-L99)/L99</f>
        <v>0.009218946096</v>
      </c>
      <c r="Z100" s="4">
        <f t="shared" si="299"/>
        <v>-0.00244864915</v>
      </c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</row>
    <row r="101" ht="14.25" customHeight="1">
      <c r="A101" s="12">
        <v>45352.0</v>
      </c>
      <c r="B101" s="13">
        <v>3539.4</v>
      </c>
      <c r="C101" s="13">
        <v>19.96</v>
      </c>
      <c r="D101" s="13">
        <v>11005.0</v>
      </c>
      <c r="E101" s="4">
        <f t="shared" ref="E101:G101" si="300">LN(B101/B100)</f>
        <v>0.04519433146</v>
      </c>
      <c r="F101" s="4">
        <f t="shared" si="300"/>
        <v>0.03673882565</v>
      </c>
      <c r="G101" s="4">
        <f t="shared" si="300"/>
        <v>-0.0008174758619</v>
      </c>
      <c r="H101" s="4">
        <f t="shared" si="2"/>
        <v>4806.2388</v>
      </c>
      <c r="I101" s="4">
        <f t="shared" si="6"/>
        <v>0.0102220996</v>
      </c>
      <c r="J101" s="4">
        <f t="shared" si="7"/>
        <v>0.009610252859</v>
      </c>
      <c r="K101" s="4">
        <f t="shared" si="8"/>
        <v>0.0000003743564294</v>
      </c>
      <c r="L101" s="14">
        <v>3266.66</v>
      </c>
      <c r="M101" s="4">
        <f t="shared" si="3"/>
        <v>9287.127068</v>
      </c>
      <c r="N101" s="4"/>
      <c r="O101" s="4"/>
      <c r="P101" s="4"/>
      <c r="Q101" s="4">
        <f t="shared" ref="Q101:S101" si="301">IF(E100=0,0,(E101-E100)/E100)</f>
        <v>20.2124536</v>
      </c>
      <c r="R101" s="4">
        <f t="shared" si="301"/>
        <v>1.70026203</v>
      </c>
      <c r="S101" s="4">
        <f t="shared" si="301"/>
        <v>-0.7137603727</v>
      </c>
      <c r="T101" s="15">
        <v>3266.66</v>
      </c>
      <c r="U101" s="4"/>
      <c r="V101" s="4"/>
      <c r="W101" s="4"/>
      <c r="X101" s="4"/>
      <c r="Y101" s="4">
        <f t="shared" ref="Y101:Z101" si="302">(L101-L100)/L100</f>
        <v>0.003027511668</v>
      </c>
      <c r="Z101" s="4">
        <f t="shared" si="302"/>
        <v>0.003004615216</v>
      </c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</row>
    <row r="102" ht="14.25" customHeight="1">
      <c r="A102" s="7">
        <v>45355.0</v>
      </c>
      <c r="B102" s="8">
        <v>3700.6</v>
      </c>
      <c r="C102" s="8">
        <v>20.2</v>
      </c>
      <c r="D102" s="8">
        <v>11592.0</v>
      </c>
      <c r="E102" s="4">
        <f t="shared" ref="E102:G102" si="303">LN(B102/B101)</f>
        <v>0.04453774741</v>
      </c>
      <c r="F102" s="4">
        <f t="shared" si="303"/>
        <v>0.01195233352</v>
      </c>
      <c r="G102" s="4">
        <f t="shared" si="303"/>
        <v>0.05196549004</v>
      </c>
      <c r="H102" s="4">
        <f t="shared" si="2"/>
        <v>5053.224</v>
      </c>
      <c r="I102" s="4">
        <f t="shared" si="6"/>
        <v>0.05011163146</v>
      </c>
      <c r="J102" s="4">
        <f t="shared" si="7"/>
        <v>0.05010213721</v>
      </c>
      <c r="K102" s="4">
        <f t="shared" si="8"/>
        <v>0</v>
      </c>
      <c r="L102" s="9">
        <v>3296.75</v>
      </c>
      <c r="M102" s="4">
        <f t="shared" si="3"/>
        <v>9776.35915</v>
      </c>
      <c r="N102" s="4"/>
      <c r="O102" s="4"/>
      <c r="P102" s="4"/>
      <c r="Q102" s="4">
        <f t="shared" ref="Q102:S102" si="304">IF(E101=0,0,(E102-E101)/E101)</f>
        <v>-0.01452801767</v>
      </c>
      <c r="R102" s="4">
        <f t="shared" si="304"/>
        <v>-0.6746675128</v>
      </c>
      <c r="S102" s="4">
        <f t="shared" si="304"/>
        <v>-64.56822564</v>
      </c>
      <c r="T102" s="11">
        <v>3296.75</v>
      </c>
      <c r="U102" s="4"/>
      <c r="V102" s="4"/>
      <c r="W102" s="4"/>
      <c r="X102" s="4"/>
      <c r="Y102" s="4">
        <f t="shared" ref="Y102:Z102" si="305">(L102-L101)/L101</f>
        <v>0.009211243288</v>
      </c>
      <c r="Z102" s="4">
        <f t="shared" si="305"/>
        <v>0.05267851709</v>
      </c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</row>
    <row r="103" ht="14.25" customHeight="1">
      <c r="A103" s="12">
        <v>45356.0</v>
      </c>
      <c r="B103" s="13">
        <v>3627.0</v>
      </c>
      <c r="C103" s="13">
        <v>20.2</v>
      </c>
      <c r="D103" s="13">
        <v>11365.5</v>
      </c>
      <c r="E103" s="4">
        <f t="shared" ref="E103:G103" si="306">LN(B103/B102)</f>
        <v>-0.02008910836</v>
      </c>
      <c r="F103" s="4">
        <f t="shared" si="306"/>
        <v>0</v>
      </c>
      <c r="G103" s="4">
        <f t="shared" si="306"/>
        <v>-0.01973275396</v>
      </c>
      <c r="H103" s="4">
        <f t="shared" si="2"/>
        <v>4954.191</v>
      </c>
      <c r="I103" s="4">
        <f t="shared" si="6"/>
        <v>-0.0197925704</v>
      </c>
      <c r="J103" s="4">
        <f t="shared" si="7"/>
        <v>-0.01970735769</v>
      </c>
      <c r="K103" s="4">
        <f t="shared" si="8"/>
        <v>0.000000007261206079</v>
      </c>
      <c r="L103" s="14">
        <v>3300.89</v>
      </c>
      <c r="M103" s="4">
        <f t="shared" si="3"/>
        <v>9585.050283</v>
      </c>
      <c r="N103" s="4"/>
      <c r="O103" s="4"/>
      <c r="P103" s="4"/>
      <c r="Q103" s="4">
        <f t="shared" ref="Q103:S103" si="307">IF(E102=0,0,(E103-E102)/E102)</f>
        <v>-1.451058025</v>
      </c>
      <c r="R103" s="4">
        <f t="shared" si="307"/>
        <v>-1</v>
      </c>
      <c r="S103" s="4">
        <f t="shared" si="307"/>
        <v>-1.379728045</v>
      </c>
      <c r="T103" s="15">
        <v>3300.89</v>
      </c>
      <c r="U103" s="4"/>
      <c r="V103" s="4"/>
      <c r="W103" s="4"/>
      <c r="X103" s="4"/>
      <c r="Y103" s="4">
        <f t="shared" ref="Y103:Z103" si="308">(L103-L102)/L102</f>
        <v>0.00125578221</v>
      </c>
      <c r="Z103" s="4">
        <f t="shared" si="308"/>
        <v>-0.01956851872</v>
      </c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</row>
    <row r="104" ht="14.25" customHeight="1">
      <c r="A104" s="7">
        <v>45357.0</v>
      </c>
      <c r="B104" s="8">
        <v>3577.8</v>
      </c>
      <c r="C104" s="8">
        <v>20.2</v>
      </c>
      <c r="D104" s="8">
        <v>11752.0</v>
      </c>
      <c r="E104" s="4">
        <f t="shared" ref="E104:G104" si="309">LN(B104/B103)</f>
        <v>-0.01365777393</v>
      </c>
      <c r="F104" s="4">
        <f t="shared" si="309"/>
        <v>0</v>
      </c>
      <c r="G104" s="4">
        <f t="shared" si="309"/>
        <v>0.03344098781</v>
      </c>
      <c r="H104" s="4">
        <f t="shared" si="2"/>
        <v>5065.5</v>
      </c>
      <c r="I104" s="4">
        <f t="shared" si="6"/>
        <v>0.02221896448</v>
      </c>
      <c r="J104" s="4">
        <f t="shared" si="7"/>
        <v>0.02279344231</v>
      </c>
      <c r="K104" s="4">
        <f t="shared" si="8"/>
        <v>0.0000003300247667</v>
      </c>
      <c r="L104" s="9">
        <v>3310.58</v>
      </c>
      <c r="M104" s="4">
        <f t="shared" si="3"/>
        <v>9872.643253</v>
      </c>
      <c r="N104" s="4"/>
      <c r="O104" s="4"/>
      <c r="P104" s="4"/>
      <c r="Q104" s="4">
        <f t="shared" ref="Q104:S104" si="310">IF(E103=0,0,(E104-E103)/E103)</f>
        <v>-0.3201403627</v>
      </c>
      <c r="R104" s="4">
        <f t="shared" si="310"/>
        <v>0</v>
      </c>
      <c r="S104" s="4">
        <f t="shared" si="310"/>
        <v>-2.694694409</v>
      </c>
      <c r="T104" s="11">
        <v>3310.58</v>
      </c>
      <c r="U104" s="4"/>
      <c r="V104" s="4"/>
      <c r="W104" s="4"/>
      <c r="X104" s="4"/>
      <c r="Y104" s="4">
        <f t="shared" ref="Y104:Z104" si="311">(L104-L103)/L103</f>
        <v>0.002935571922</v>
      </c>
      <c r="Z104" s="4">
        <f t="shared" si="311"/>
        <v>0.03000432568</v>
      </c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</row>
    <row r="105" ht="14.25" customHeight="1">
      <c r="A105" s="12">
        <v>45358.0</v>
      </c>
      <c r="B105" s="13">
        <v>3623.8</v>
      </c>
      <c r="C105" s="13">
        <v>19.88</v>
      </c>
      <c r="D105" s="13">
        <v>11702.5</v>
      </c>
      <c r="E105" s="4">
        <f t="shared" ref="E105:G105" si="312">LN(B105/B104)</f>
        <v>0.01277511264</v>
      </c>
      <c r="F105" s="4">
        <f t="shared" si="312"/>
        <v>-0.01596840318</v>
      </c>
      <c r="G105" s="4">
        <f t="shared" si="312"/>
        <v>-0.004220944679</v>
      </c>
      <c r="H105" s="4">
        <f t="shared" si="2"/>
        <v>5064.2394</v>
      </c>
      <c r="I105" s="4">
        <f t="shared" si="6"/>
        <v>-0.0002488909056</v>
      </c>
      <c r="J105" s="4">
        <f t="shared" si="7"/>
        <v>-0.0005049295164</v>
      </c>
      <c r="K105" s="4">
        <f t="shared" si="8"/>
        <v>0.00000006555577023</v>
      </c>
      <c r="L105" s="14">
        <v>3315.68</v>
      </c>
      <c r="M105" s="4">
        <f t="shared" si="3"/>
        <v>9844.634041</v>
      </c>
      <c r="N105" s="4"/>
      <c r="O105" s="4"/>
      <c r="P105" s="4"/>
      <c r="Q105" s="4">
        <f t="shared" ref="Q105:S105" si="313">IF(E104=0,0,(E105-E104)/E104)</f>
        <v>-1.935372976</v>
      </c>
      <c r="R105" s="4">
        <f t="shared" si="313"/>
        <v>0</v>
      </c>
      <c r="S105" s="4">
        <f t="shared" si="313"/>
        <v>-1.126220694</v>
      </c>
      <c r="T105" s="15">
        <v>3315.68</v>
      </c>
      <c r="U105" s="4"/>
      <c r="V105" s="4"/>
      <c r="W105" s="4"/>
      <c r="X105" s="4"/>
      <c r="Y105" s="4">
        <f t="shared" ref="Y105:Z105" si="314">(L105-L104)/L104</f>
        <v>0.001540515559</v>
      </c>
      <c r="Z105" s="4">
        <f t="shared" si="314"/>
        <v>-0.002837052974</v>
      </c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</row>
    <row r="106" ht="14.25" customHeight="1">
      <c r="A106" s="7">
        <v>45362.0</v>
      </c>
      <c r="B106" s="8">
        <v>3544.4</v>
      </c>
      <c r="C106" s="8">
        <v>18.42</v>
      </c>
      <c r="D106" s="8">
        <v>11741.5</v>
      </c>
      <c r="E106" s="4">
        <f t="shared" ref="E106:G106" si="315">LN(B106/B105)</f>
        <v>-0.02215430583</v>
      </c>
      <c r="F106" s="4">
        <f t="shared" si="315"/>
        <v>-0.0762771704</v>
      </c>
      <c r="G106" s="4">
        <f t="shared" si="315"/>
        <v>0.00332708036</v>
      </c>
      <c r="H106" s="4">
        <f t="shared" si="2"/>
        <v>5050.4256</v>
      </c>
      <c r="I106" s="4">
        <f t="shared" si="6"/>
        <v>-0.002731441642</v>
      </c>
      <c r="J106" s="4">
        <f t="shared" si="7"/>
        <v>-0.002759570523</v>
      </c>
      <c r="K106" s="4">
        <f t="shared" si="8"/>
        <v>0.0000000007912339412</v>
      </c>
      <c r="L106" s="9">
        <v>3320.31</v>
      </c>
      <c r="M106" s="4">
        <f t="shared" si="3"/>
        <v>9857.098716</v>
      </c>
      <c r="N106" s="4"/>
      <c r="O106" s="4"/>
      <c r="P106" s="4"/>
      <c r="Q106" s="4">
        <f t="shared" ref="Q106:S106" si="316">IF(E105=0,0,(E106-E105)/E105)</f>
        <v>-2.734176946</v>
      </c>
      <c r="R106" s="4">
        <f t="shared" si="316"/>
        <v>3.776756295</v>
      </c>
      <c r="S106" s="4">
        <f t="shared" si="316"/>
        <v>-1.788231217</v>
      </c>
      <c r="T106" s="11">
        <v>3320.31</v>
      </c>
      <c r="U106" s="4"/>
      <c r="V106" s="4"/>
      <c r="W106" s="4"/>
      <c r="X106" s="4"/>
      <c r="Y106" s="4">
        <f t="shared" ref="Y106:Z106" si="317">(L106-L105)/L105</f>
        <v>0.00139639531</v>
      </c>
      <c r="Z106" s="4">
        <f t="shared" si="317"/>
        <v>0.001266138974</v>
      </c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</row>
    <row r="107" ht="14.25" customHeight="1">
      <c r="A107" s="12">
        <v>45363.0</v>
      </c>
      <c r="B107" s="13">
        <v>3499.6</v>
      </c>
      <c r="C107" s="13">
        <v>18.22</v>
      </c>
      <c r="D107" s="13">
        <v>11646.0</v>
      </c>
      <c r="E107" s="4">
        <f t="shared" ref="E107:G107" si="318">LN(B107/B106)</f>
        <v>-0.01272021694</v>
      </c>
      <c r="F107" s="4">
        <f t="shared" si="318"/>
        <v>-0.010917139</v>
      </c>
      <c r="G107" s="4">
        <f t="shared" si="318"/>
        <v>-0.008166801137</v>
      </c>
      <c r="H107" s="4">
        <f t="shared" si="2"/>
        <v>5004.0606</v>
      </c>
      <c r="I107" s="4">
        <f t="shared" si="6"/>
        <v>-0.009222814121</v>
      </c>
      <c r="J107" s="4">
        <f t="shared" si="7"/>
        <v>-0.009193625995</v>
      </c>
      <c r="K107" s="4">
        <f t="shared" si="8"/>
        <v>0.0000000008519466711</v>
      </c>
      <c r="L107" s="14">
        <v>3332.6</v>
      </c>
      <c r="M107" s="4">
        <f t="shared" si="3"/>
        <v>9773.374785</v>
      </c>
      <c r="N107" s="4"/>
      <c r="O107" s="4"/>
      <c r="P107" s="4"/>
      <c r="Q107" s="4">
        <f t="shared" ref="Q107:S107" si="319">IF(E106=0,0,(E107-E106)/E106)</f>
        <v>-0.4258354543</v>
      </c>
      <c r="R107" s="4">
        <f t="shared" si="319"/>
        <v>-0.8568754067</v>
      </c>
      <c r="S107" s="4">
        <f t="shared" si="319"/>
        <v>-3.45464499</v>
      </c>
      <c r="T107" s="15">
        <v>3332.6</v>
      </c>
      <c r="U107" s="4"/>
      <c r="V107" s="4"/>
      <c r="W107" s="4"/>
      <c r="X107" s="4"/>
      <c r="Y107" s="4">
        <f t="shared" ref="Y107:Z107" si="320">(L107-L106)/L106</f>
        <v>0.003701461611</v>
      </c>
      <c r="Z107" s="4">
        <f t="shared" si="320"/>
        <v>-0.008493770227</v>
      </c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</row>
    <row r="108" ht="14.25" customHeight="1">
      <c r="A108" s="7">
        <v>45364.0</v>
      </c>
      <c r="B108" s="8">
        <v>3588.6</v>
      </c>
      <c r="C108" s="8">
        <v>18.67</v>
      </c>
      <c r="D108" s="8">
        <v>11870.0</v>
      </c>
      <c r="E108" s="4">
        <f t="shared" ref="E108:G108" si="321">LN(B108/B107)</f>
        <v>0.02511347805</v>
      </c>
      <c r="F108" s="4">
        <f t="shared" si="321"/>
        <v>0.02439806572</v>
      </c>
      <c r="G108" s="4">
        <f t="shared" si="321"/>
        <v>0.01905143521</v>
      </c>
      <c r="H108" s="4">
        <f t="shared" si="2"/>
        <v>5107.4991</v>
      </c>
      <c r="I108" s="4">
        <f t="shared" si="6"/>
        <v>0.02046016866</v>
      </c>
      <c r="J108" s="4">
        <f t="shared" si="7"/>
        <v>0.02042739878</v>
      </c>
      <c r="K108" s="4">
        <f t="shared" si="8"/>
        <v>0.000000001073864529</v>
      </c>
      <c r="L108" s="9">
        <v>3320.68</v>
      </c>
      <c r="M108" s="4">
        <f t="shared" si="3"/>
        <v>9966.178537</v>
      </c>
      <c r="N108" s="4"/>
      <c r="O108" s="4"/>
      <c r="P108" s="4"/>
      <c r="Q108" s="4">
        <f t="shared" ref="Q108:S108" si="322">IF(E107=0,0,(E108-E107)/E107)</f>
        <v>-2.974296363</v>
      </c>
      <c r="R108" s="4">
        <f t="shared" si="322"/>
        <v>-3.234840624</v>
      </c>
      <c r="S108" s="4">
        <f t="shared" si="322"/>
        <v>-3.33279039</v>
      </c>
      <c r="T108" s="11">
        <v>3320.68</v>
      </c>
      <c r="U108" s="4"/>
      <c r="V108" s="4"/>
      <c r="W108" s="4"/>
      <c r="X108" s="4"/>
      <c r="Y108" s="4">
        <f t="shared" ref="Y108:Z108" si="323">(L108-L107)/L107</f>
        <v>-0.003576786893</v>
      </c>
      <c r="Z108" s="4">
        <f t="shared" si="323"/>
        <v>0.01972744901</v>
      </c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</row>
    <row r="109" ht="14.25" customHeight="1">
      <c r="A109" s="12">
        <v>45365.0</v>
      </c>
      <c r="B109" s="13">
        <v>3598.8</v>
      </c>
      <c r="C109" s="13">
        <v>18.59</v>
      </c>
      <c r="D109" s="13">
        <v>11752.5</v>
      </c>
      <c r="E109" s="4">
        <f t="shared" ref="E109:G109" si="324">LN(B109/B108)</f>
        <v>0.002838302264</v>
      </c>
      <c r="F109" s="4">
        <f t="shared" si="324"/>
        <v>-0.00429415582</v>
      </c>
      <c r="G109" s="4">
        <f t="shared" si="324"/>
        <v>-0.009948224705</v>
      </c>
      <c r="H109" s="4">
        <f t="shared" si="2"/>
        <v>5072.0637</v>
      </c>
      <c r="I109" s="4">
        <f t="shared" si="6"/>
        <v>-0.006962095294</v>
      </c>
      <c r="J109" s="4">
        <f t="shared" si="7"/>
        <v>-0.007075749877</v>
      </c>
      <c r="K109" s="4">
        <f t="shared" si="8"/>
        <v>0.00000001291736428</v>
      </c>
      <c r="L109" s="14">
        <v>3297.0</v>
      </c>
      <c r="M109" s="4">
        <f t="shared" si="3"/>
        <v>9877.689304</v>
      </c>
      <c r="N109" s="4"/>
      <c r="O109" s="4"/>
      <c r="P109" s="4"/>
      <c r="Q109" s="4">
        <f t="shared" ref="Q109:S109" si="325">IF(E108=0,0,(E109-E108)/E108)</f>
        <v>-0.8869809168</v>
      </c>
      <c r="R109" s="4">
        <f t="shared" si="325"/>
        <v>-1.176003945</v>
      </c>
      <c r="S109" s="4">
        <f t="shared" si="325"/>
        <v>-1.52217718</v>
      </c>
      <c r="T109" s="15">
        <v>3297.0</v>
      </c>
      <c r="U109" s="4"/>
      <c r="V109" s="4"/>
      <c r="W109" s="4"/>
      <c r="X109" s="4"/>
      <c r="Y109" s="4">
        <f t="shared" ref="Y109:Z109" si="326">(L109-L108)/L108</f>
        <v>-0.00713106954</v>
      </c>
      <c r="Z109" s="4">
        <f t="shared" si="326"/>
        <v>-0.008878953269</v>
      </c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</row>
    <row r="110" ht="14.25" customHeight="1">
      <c r="A110" s="7">
        <v>45366.0</v>
      </c>
      <c r="B110" s="8">
        <v>3635.6</v>
      </c>
      <c r="C110" s="8">
        <v>18.99</v>
      </c>
      <c r="D110" s="8">
        <v>11760.0</v>
      </c>
      <c r="E110" s="4">
        <f t="shared" ref="E110:G110" si="327">LN(B110/B109)</f>
        <v>0.0101737027</v>
      </c>
      <c r="F110" s="4">
        <f t="shared" si="327"/>
        <v>0.02128872309</v>
      </c>
      <c r="G110" s="4">
        <f t="shared" si="327"/>
        <v>0.0006379585543</v>
      </c>
      <c r="H110" s="4">
        <f t="shared" si="2"/>
        <v>5086.8147</v>
      </c>
      <c r="I110" s="4">
        <f t="shared" si="6"/>
        <v>0.002904062788</v>
      </c>
      <c r="J110" s="4">
        <f t="shared" si="7"/>
        <v>0.00286727721</v>
      </c>
      <c r="K110" s="4">
        <f t="shared" si="8"/>
        <v>0.000000001353178811</v>
      </c>
      <c r="L110" s="9">
        <v>3300.07</v>
      </c>
      <c r="M110" s="4">
        <f t="shared" si="3"/>
        <v>9891.665177</v>
      </c>
      <c r="N110" s="4"/>
      <c r="O110" s="4"/>
      <c r="P110" s="4"/>
      <c r="Q110" s="4">
        <f t="shared" ref="Q110:S110" si="328">IF(E109=0,0,(E110-E109)/E109)</f>
        <v>2.584432437</v>
      </c>
      <c r="R110" s="4">
        <f t="shared" si="328"/>
        <v>-5.957603772</v>
      </c>
      <c r="S110" s="4">
        <f t="shared" si="328"/>
        <v>-1.064127879</v>
      </c>
      <c r="T110" s="11">
        <v>3300.07</v>
      </c>
      <c r="U110" s="4"/>
      <c r="V110" s="4"/>
      <c r="W110" s="4"/>
      <c r="X110" s="4"/>
      <c r="Y110" s="4">
        <f t="shared" ref="Y110:Z110" si="329">(L110-L109)/L109</f>
        <v>0.0009311495299</v>
      </c>
      <c r="Z110" s="4">
        <f t="shared" si="329"/>
        <v>0.001414892934</v>
      </c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</row>
    <row r="111" ht="14.25" customHeight="1">
      <c r="A111" s="12">
        <v>45369.0</v>
      </c>
      <c r="B111" s="13">
        <v>3686.2</v>
      </c>
      <c r="C111" s="13">
        <v>19.1</v>
      </c>
      <c r="D111" s="13">
        <v>11673.0</v>
      </c>
      <c r="E111" s="4">
        <f t="shared" ref="E111:G111" si="330">LN(B111/B110)</f>
        <v>0.01382195787</v>
      </c>
      <c r="F111" s="4">
        <f t="shared" si="330"/>
        <v>0.005775810228</v>
      </c>
      <c r="G111" s="4">
        <f t="shared" si="330"/>
        <v>-0.0074254598</v>
      </c>
      <c r="H111" s="4">
        <f t="shared" si="2"/>
        <v>5074.839</v>
      </c>
      <c r="I111" s="4">
        <f t="shared" si="6"/>
        <v>-0.002357038706</v>
      </c>
      <c r="J111" s="4">
        <f t="shared" si="7"/>
        <v>-0.002632080777</v>
      </c>
      <c r="K111" s="4">
        <f t="shared" si="8"/>
        <v>0.00000007564814079</v>
      </c>
      <c r="L111" s="14">
        <v>3296.3</v>
      </c>
      <c r="M111" s="4">
        <f t="shared" si="3"/>
        <v>9835.716063</v>
      </c>
      <c r="N111" s="4"/>
      <c r="O111" s="4"/>
      <c r="P111" s="4"/>
      <c r="Q111" s="4">
        <f t="shared" ref="Q111:S111" si="331">IF(E110=0,0,(E111-E110)/E110)</f>
        <v>0.3585965973</v>
      </c>
      <c r="R111" s="4">
        <f t="shared" si="331"/>
        <v>-0.7286915611</v>
      </c>
      <c r="S111" s="4">
        <f t="shared" si="331"/>
        <v>-12.63940784</v>
      </c>
      <c r="T111" s="15">
        <v>3296.3</v>
      </c>
      <c r="U111" s="4"/>
      <c r="V111" s="4"/>
      <c r="W111" s="4"/>
      <c r="X111" s="4"/>
      <c r="Y111" s="4">
        <f t="shared" ref="Y111:Z111" si="332">(L111-L110)/L110</f>
        <v>-0.00114240001</v>
      </c>
      <c r="Z111" s="4">
        <f t="shared" si="332"/>
        <v>-0.005656187541</v>
      </c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</row>
    <row r="112" ht="14.25" customHeight="1">
      <c r="A112" s="7">
        <v>45370.0</v>
      </c>
      <c r="B112" s="8">
        <v>3797.0</v>
      </c>
      <c r="C112" s="8">
        <v>19.52</v>
      </c>
      <c r="D112" s="8">
        <v>11534.0</v>
      </c>
      <c r="E112" s="4">
        <f t="shared" ref="E112:G112" si="333">LN(B112/B111)</f>
        <v>0.02961516411</v>
      </c>
      <c r="F112" s="4">
        <f t="shared" si="333"/>
        <v>0.02175124593</v>
      </c>
      <c r="G112" s="4">
        <f t="shared" si="333"/>
        <v>-0.01197928748</v>
      </c>
      <c r="H112" s="4">
        <f t="shared" si="2"/>
        <v>5065.6716</v>
      </c>
      <c r="I112" s="4">
        <f t="shared" si="6"/>
        <v>-0.001808075127</v>
      </c>
      <c r="J112" s="4">
        <f t="shared" si="7"/>
        <v>-0.002553838395</v>
      </c>
      <c r="K112" s="4">
        <f t="shared" si="8"/>
        <v>0.000000556162851</v>
      </c>
      <c r="L112" s="9">
        <v>3264.97</v>
      </c>
      <c r="M112" s="4">
        <f t="shared" si="3"/>
        <v>9752.986813</v>
      </c>
      <c r="N112" s="4"/>
      <c r="O112" s="4"/>
      <c r="P112" s="4"/>
      <c r="Q112" s="4">
        <f t="shared" ref="Q112:S112" si="334">IF(E111=0,0,(E112-E111)/E111)</f>
        <v>1.142617159</v>
      </c>
      <c r="R112" s="4">
        <f t="shared" si="334"/>
        <v>2.765921156</v>
      </c>
      <c r="S112" s="4">
        <f t="shared" si="334"/>
        <v>0.6132721475</v>
      </c>
      <c r="T112" s="11">
        <v>3264.97</v>
      </c>
      <c r="U112" s="4"/>
      <c r="V112" s="4"/>
      <c r="W112" s="4"/>
      <c r="X112" s="4"/>
      <c r="Y112" s="4">
        <f t="shared" ref="Y112:Z112" si="335">(L112-L111)/L111</f>
        <v>-0.009504596062</v>
      </c>
      <c r="Z112" s="4">
        <f t="shared" si="335"/>
        <v>-0.008411105999</v>
      </c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</row>
    <row r="113" ht="14.25" customHeight="1">
      <c r="A113" s="12">
        <v>45371.0</v>
      </c>
      <c r="B113" s="13">
        <v>3948.0</v>
      </c>
      <c r="C113" s="13">
        <v>17.82</v>
      </c>
      <c r="D113" s="13">
        <v>11759.5</v>
      </c>
      <c r="E113" s="4">
        <f t="shared" ref="E113:G113" si="336">LN(B113/B112)</f>
        <v>0.03899784032</v>
      </c>
      <c r="F113" s="4">
        <f t="shared" si="336"/>
        <v>-0.09111815894</v>
      </c>
      <c r="G113" s="4">
        <f t="shared" si="336"/>
        <v>0.01936222937</v>
      </c>
      <c r="H113" s="4">
        <f t="shared" si="2"/>
        <v>5189.3556</v>
      </c>
      <c r="I113" s="4">
        <f t="shared" si="6"/>
        <v>0.02412280246</v>
      </c>
      <c r="J113" s="4">
        <f t="shared" si="7"/>
        <v>0.02314158501</v>
      </c>
      <c r="K113" s="4">
        <f t="shared" si="8"/>
        <v>0.0000009627876933</v>
      </c>
      <c r="L113" s="14">
        <v>3267.1</v>
      </c>
      <c r="M113" s="4">
        <f t="shared" si="3"/>
        <v>9960.720621</v>
      </c>
      <c r="N113" s="4"/>
      <c r="O113" s="4"/>
      <c r="P113" s="4"/>
      <c r="Q113" s="4">
        <f t="shared" ref="Q113:S113" si="337">IF(E112=0,0,(E113-E112)/E112)</f>
        <v>0.316819997</v>
      </c>
      <c r="R113" s="4">
        <f t="shared" si="337"/>
        <v>-5.189100672</v>
      </c>
      <c r="S113" s="4">
        <f t="shared" si="337"/>
        <v>-2.616308934</v>
      </c>
      <c r="T113" s="15">
        <v>3267.1</v>
      </c>
      <c r="U113" s="4"/>
      <c r="V113" s="4"/>
      <c r="W113" s="4"/>
      <c r="X113" s="4"/>
      <c r="Y113" s="4">
        <f t="shared" ref="Y113:Z113" si="338">(L113-L112)/L112</f>
        <v>0.0006523796543</v>
      </c>
      <c r="Z113" s="4">
        <f t="shared" si="338"/>
        <v>0.02129950674</v>
      </c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</row>
    <row r="114" ht="14.25" customHeight="1">
      <c r="A114" s="7">
        <v>45372.0</v>
      </c>
      <c r="B114" s="8">
        <v>3882.0</v>
      </c>
      <c r="C114" s="8">
        <v>17.77</v>
      </c>
      <c r="D114" s="8">
        <v>11666.0</v>
      </c>
      <c r="E114" s="4">
        <f t="shared" ref="E114:G114" si="339">LN(B114/B113)</f>
        <v>-0.01685863682</v>
      </c>
      <c r="F114" s="4">
        <f t="shared" si="339"/>
        <v>-0.002809779876</v>
      </c>
      <c r="G114" s="4">
        <f t="shared" si="339"/>
        <v>-0.007982796228</v>
      </c>
      <c r="H114" s="4">
        <f t="shared" si="2"/>
        <v>5136.7041</v>
      </c>
      <c r="I114" s="4">
        <f t="shared" si="6"/>
        <v>-0.01019787951</v>
      </c>
      <c r="J114" s="4">
        <f t="shared" si="7"/>
        <v>-0.009928507911</v>
      </c>
      <c r="K114" s="4">
        <f t="shared" si="8"/>
        <v>0.00000007256105627</v>
      </c>
      <c r="L114" s="9">
        <v>3286.69</v>
      </c>
      <c r="M114" s="4">
        <f t="shared" si="3"/>
        <v>9873.829423</v>
      </c>
      <c r="N114" s="4"/>
      <c r="O114" s="4"/>
      <c r="P114" s="4"/>
      <c r="Q114" s="4">
        <f t="shared" ref="Q114:S114" si="340">IF(E113=0,0,(E114-E113)/E113)</f>
        <v>-1.432296678</v>
      </c>
      <c r="R114" s="4">
        <f t="shared" si="340"/>
        <v>-0.9691633379</v>
      </c>
      <c r="S114" s="4">
        <f t="shared" si="340"/>
        <v>-1.41228704</v>
      </c>
      <c r="T114" s="11">
        <v>3286.69</v>
      </c>
      <c r="U114" s="4"/>
      <c r="V114" s="4"/>
      <c r="W114" s="4"/>
      <c r="X114" s="4"/>
      <c r="Y114" s="4">
        <f t="shared" ref="Y114:Z114" si="341">(L114-L113)/L113</f>
        <v>0.005996143369</v>
      </c>
      <c r="Z114" s="4">
        <f t="shared" si="341"/>
        <v>-0.008723384708</v>
      </c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</row>
    <row r="115" ht="14.25" customHeight="1">
      <c r="A115" s="12">
        <v>45373.0</v>
      </c>
      <c r="B115" s="13">
        <v>3834.0</v>
      </c>
      <c r="C115" s="13">
        <v>17.81</v>
      </c>
      <c r="D115" s="13">
        <v>11406.0</v>
      </c>
      <c r="E115" s="4">
        <f t="shared" ref="E115:G115" si="342">LN(B115/B114)</f>
        <v>-0.01244184012</v>
      </c>
      <c r="F115" s="4">
        <f t="shared" si="342"/>
        <v>0.002248455135</v>
      </c>
      <c r="G115" s="4">
        <f t="shared" si="342"/>
        <v>-0.0225390956</v>
      </c>
      <c r="H115" s="4">
        <f t="shared" si="2"/>
        <v>5035.0773</v>
      </c>
      <c r="I115" s="4">
        <f t="shared" si="6"/>
        <v>-0.01998276953</v>
      </c>
      <c r="J115" s="4">
        <f t="shared" si="7"/>
        <v>-0.02016301897</v>
      </c>
      <c r="K115" s="4">
        <f t="shared" si="8"/>
        <v>0.0000000324898599</v>
      </c>
      <c r="L115" s="14">
        <v>3273.49</v>
      </c>
      <c r="M115" s="4">
        <f t="shared" si="3"/>
        <v>9662.336553</v>
      </c>
      <c r="N115" s="4"/>
      <c r="O115" s="4"/>
      <c r="P115" s="4"/>
      <c r="Q115" s="4">
        <f t="shared" ref="Q115:S115" si="343">IF(E114=0,0,(E115-E114)/E114)</f>
        <v>-0.2619901447</v>
      </c>
      <c r="R115" s="4">
        <f t="shared" si="343"/>
        <v>-1.800224656</v>
      </c>
      <c r="S115" s="4">
        <f t="shared" si="343"/>
        <v>1.823458717</v>
      </c>
      <c r="T115" s="15">
        <v>3273.49</v>
      </c>
      <c r="U115" s="4"/>
      <c r="V115" s="4"/>
      <c r="W115" s="4"/>
      <c r="X115" s="4"/>
      <c r="Y115" s="4">
        <f t="shared" ref="Y115:Z115" si="344">(L115-L114)/L114</f>
        <v>-0.004016198668</v>
      </c>
      <c r="Z115" s="4">
        <f t="shared" si="344"/>
        <v>-0.0214195386</v>
      </c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</row>
    <row r="116" ht="14.25" customHeight="1">
      <c r="A116" s="7">
        <v>45376.0</v>
      </c>
      <c r="B116" s="8">
        <v>4024.6</v>
      </c>
      <c r="C116" s="8">
        <v>18.01</v>
      </c>
      <c r="D116" s="8">
        <v>11481.0</v>
      </c>
      <c r="E116" s="4">
        <f t="shared" ref="E116:G116" si="345">LN(B116/B115)</f>
        <v>0.04851688243</v>
      </c>
      <c r="F116" s="4">
        <f t="shared" si="345"/>
        <v>0.01116706189</v>
      </c>
      <c r="G116" s="4">
        <f t="shared" si="345"/>
        <v>0.006553962377</v>
      </c>
      <c r="H116" s="4">
        <f t="shared" si="2"/>
        <v>5122.7913</v>
      </c>
      <c r="I116" s="4">
        <f t="shared" si="6"/>
        <v>0.01727058769</v>
      </c>
      <c r="J116" s="4">
        <f t="shared" si="7"/>
        <v>0.01590695428</v>
      </c>
      <c r="K116" s="4">
        <f t="shared" si="8"/>
        <v>0.000001859496082</v>
      </c>
      <c r="L116" s="9">
        <v>3281.63</v>
      </c>
      <c r="M116" s="4">
        <f t="shared" si="3"/>
        <v>9762.638362</v>
      </c>
      <c r="N116" s="4"/>
      <c r="O116" s="4"/>
      <c r="P116" s="4"/>
      <c r="Q116" s="4">
        <f t="shared" ref="Q116:S116" si="346">IF(E115=0,0,(E116-E115)/E115)</f>
        <v>-4.899494122</v>
      </c>
      <c r="R116" s="4">
        <f t="shared" si="346"/>
        <v>3.966548682</v>
      </c>
      <c r="S116" s="4">
        <f t="shared" si="346"/>
        <v>-1.290781959</v>
      </c>
      <c r="T116" s="11">
        <v>3281.63</v>
      </c>
      <c r="U116" s="4"/>
      <c r="V116" s="4"/>
      <c r="W116" s="4"/>
      <c r="X116" s="4"/>
      <c r="Y116" s="4">
        <f t="shared" ref="Y116:Z116" si="347">(L116-L115)/L115</f>
        <v>0.002486642696</v>
      </c>
      <c r="Z116" s="4">
        <f t="shared" si="347"/>
        <v>0.01038069924</v>
      </c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</row>
    <row r="117" ht="14.25" customHeight="1">
      <c r="A117" s="12">
        <v>45377.0</v>
      </c>
      <c r="B117" s="13">
        <v>4018.8</v>
      </c>
      <c r="C117" s="13">
        <v>18.15</v>
      </c>
      <c r="D117" s="13">
        <v>11573.5</v>
      </c>
      <c r="E117" s="4">
        <f t="shared" ref="E117:G117" si="348">LN(B117/B116)</f>
        <v>-0.001442176444</v>
      </c>
      <c r="F117" s="4">
        <f t="shared" si="348"/>
        <v>0.007743401523</v>
      </c>
      <c r="G117" s="4">
        <f t="shared" si="348"/>
        <v>0.00802450683</v>
      </c>
      <c r="H117" s="4">
        <f t="shared" si="2"/>
        <v>5151.4485</v>
      </c>
      <c r="I117" s="4">
        <f t="shared" si="6"/>
        <v>0.005578470986</v>
      </c>
      <c r="J117" s="4">
        <f t="shared" si="7"/>
        <v>0.005918532689</v>
      </c>
      <c r="K117" s="4">
        <f t="shared" si="8"/>
        <v>0.0000001156419615</v>
      </c>
      <c r="L117" s="14">
        <v>3285.54</v>
      </c>
      <c r="M117" s="4">
        <f t="shared" si="3"/>
        <v>9832.796199</v>
      </c>
      <c r="N117" s="4"/>
      <c r="O117" s="4"/>
      <c r="P117" s="4"/>
      <c r="Q117" s="4">
        <f t="shared" ref="Q117:S117" si="349">IF(E116=0,0,(E117-E116)/E116)</f>
        <v>-1.02972525</v>
      </c>
      <c r="R117" s="4">
        <f t="shared" si="349"/>
        <v>-0.3065855995</v>
      </c>
      <c r="S117" s="4">
        <f t="shared" si="349"/>
        <v>0.2243748695</v>
      </c>
      <c r="T117" s="15">
        <v>3285.54</v>
      </c>
      <c r="U117" s="4"/>
      <c r="V117" s="4"/>
      <c r="W117" s="4"/>
      <c r="X117" s="4"/>
      <c r="Y117" s="4">
        <f t="shared" ref="Y117:Z117" si="350">(L117-L116)/L116</f>
        <v>0.001191481063</v>
      </c>
      <c r="Z117" s="4">
        <f t="shared" si="350"/>
        <v>0.007186360275</v>
      </c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</row>
    <row r="118" ht="14.25" customHeight="1">
      <c r="A118" s="7">
        <v>45378.0</v>
      </c>
      <c r="B118" s="8">
        <v>4007.2</v>
      </c>
      <c r="C118" s="8">
        <v>18.45</v>
      </c>
      <c r="D118" s="8">
        <v>11523.0</v>
      </c>
      <c r="E118" s="4">
        <f t="shared" ref="E118:G118" si="351">LN(B118/B117)</f>
        <v>-0.002890607545</v>
      </c>
      <c r="F118" s="4">
        <f t="shared" si="351"/>
        <v>0.01639380978</v>
      </c>
      <c r="G118" s="4">
        <f t="shared" si="351"/>
        <v>-0.00437296391</v>
      </c>
      <c r="H118" s="4">
        <f t="shared" si="2"/>
        <v>5131.0545</v>
      </c>
      <c r="I118" s="4">
        <f t="shared" si="6"/>
        <v>-0.00396674365</v>
      </c>
      <c r="J118" s="4">
        <f t="shared" si="7"/>
        <v>-0.00393333247</v>
      </c>
      <c r="K118" s="4">
        <f t="shared" si="8"/>
        <v>0.000000001116306971</v>
      </c>
      <c r="L118" s="9">
        <v>3304.09</v>
      </c>
      <c r="M118" s="4">
        <f t="shared" si="3"/>
        <v>9791.213156</v>
      </c>
      <c r="N118" s="4"/>
      <c r="O118" s="4"/>
      <c r="P118" s="4"/>
      <c r="Q118" s="4">
        <f t="shared" ref="Q118:S118" si="352">IF(E117=0,0,(E118-E117)/E117)</f>
        <v>1.004336957</v>
      </c>
      <c r="R118" s="4">
        <f t="shared" si="352"/>
        <v>1.117132855</v>
      </c>
      <c r="S118" s="4">
        <f t="shared" si="352"/>
        <v>-1.544951111</v>
      </c>
      <c r="T118" s="11">
        <v>3304.09</v>
      </c>
      <c r="U118" s="4"/>
      <c r="V118" s="4"/>
      <c r="W118" s="4"/>
      <c r="X118" s="4"/>
      <c r="Y118" s="4">
        <f t="shared" ref="Y118:Z118" si="353">(L118-L117)/L117</f>
        <v>0.005645951655</v>
      </c>
      <c r="Z118" s="4">
        <f t="shared" si="353"/>
        <v>-0.004229015067</v>
      </c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</row>
    <row r="119" ht="14.25" customHeight="1">
      <c r="A119" s="12">
        <v>45379.0</v>
      </c>
      <c r="B119" s="13">
        <v>4003.8</v>
      </c>
      <c r="C119" s="13">
        <v>18.46</v>
      </c>
      <c r="D119" s="13">
        <v>11716.5</v>
      </c>
      <c r="E119" s="4">
        <f t="shared" ref="E119:G119" si="354">LN(B119/B118)</f>
        <v>-0.0008488329058</v>
      </c>
      <c r="F119" s="4">
        <f t="shared" si="354"/>
        <v>0.0005418585882</v>
      </c>
      <c r="G119" s="4">
        <f t="shared" si="354"/>
        <v>0.0166530667</v>
      </c>
      <c r="H119" s="4">
        <f t="shared" si="2"/>
        <v>5193.7908</v>
      </c>
      <c r="I119" s="4">
        <f t="shared" si="6"/>
        <v>0.01215264157</v>
      </c>
      <c r="J119" s="4">
        <f t="shared" si="7"/>
        <v>0.01267690487</v>
      </c>
      <c r="K119" s="4">
        <f t="shared" si="8"/>
        <v>0.0000002748520068</v>
      </c>
      <c r="L119" s="14">
        <v>3312.77</v>
      </c>
      <c r="M119" s="4">
        <f t="shared" si="3"/>
        <v>9939.915642</v>
      </c>
      <c r="N119" s="4"/>
      <c r="O119" s="4"/>
      <c r="P119" s="4"/>
      <c r="Q119" s="4">
        <f t="shared" ref="Q119:S119" si="355">IF(E118=0,0,(E119-E118)/E118)</f>
        <v>-0.7063479242</v>
      </c>
      <c r="R119" s="4">
        <f t="shared" si="355"/>
        <v>-0.9669473664</v>
      </c>
      <c r="S119" s="4">
        <f t="shared" si="355"/>
        <v>-4.808187547</v>
      </c>
      <c r="T119" s="15">
        <v>3312.77</v>
      </c>
      <c r="U119" s="4"/>
      <c r="V119" s="4"/>
      <c r="W119" s="4"/>
      <c r="X119" s="4"/>
      <c r="Y119" s="4">
        <f t="shared" ref="Y119:Z119" si="356">(L119-L118)/L118</f>
        <v>0.002627047084</v>
      </c>
      <c r="Z119" s="4">
        <f t="shared" si="356"/>
        <v>0.01518734035</v>
      </c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</row>
    <row r="120" ht="14.25" customHeight="1">
      <c r="A120" s="7">
        <v>45384.0</v>
      </c>
      <c r="B120" s="8">
        <v>3868.0</v>
      </c>
      <c r="C120" s="8">
        <v>18.85</v>
      </c>
      <c r="D120" s="8">
        <v>13000.0</v>
      </c>
      <c r="E120" s="4">
        <f t="shared" ref="E120:G120" si="357">LN(B120/B119)</f>
        <v>-0.03450633256</v>
      </c>
      <c r="F120" s="4">
        <f t="shared" si="357"/>
        <v>0.02090668482</v>
      </c>
      <c r="G120" s="4">
        <f t="shared" si="357"/>
        <v>0.1039512527</v>
      </c>
      <c r="H120" s="4">
        <f t="shared" si="2"/>
        <v>5572.6605</v>
      </c>
      <c r="I120" s="4">
        <f t="shared" si="6"/>
        <v>0.07040875283</v>
      </c>
      <c r="J120" s="4">
        <f t="shared" si="7"/>
        <v>0.07273127454</v>
      </c>
      <c r="K120" s="4">
        <f t="shared" si="8"/>
        <v>0.000005394107109</v>
      </c>
      <c r="L120" s="9">
        <v>3371.29</v>
      </c>
      <c r="M120" s="4">
        <f t="shared" si="3"/>
        <v>10901.09669</v>
      </c>
      <c r="N120" s="4"/>
      <c r="O120" s="4"/>
      <c r="P120" s="4"/>
      <c r="Q120" s="4">
        <f t="shared" ref="Q120:S120" si="358">IF(E119=0,0,(E120-E119)/E119)</f>
        <v>39.651502</v>
      </c>
      <c r="R120" s="4">
        <f t="shared" si="358"/>
        <v>37.58328589</v>
      </c>
      <c r="S120" s="4">
        <f t="shared" si="358"/>
        <v>5.242168759</v>
      </c>
      <c r="T120" s="11">
        <v>3371.29</v>
      </c>
      <c r="U120" s="4"/>
      <c r="V120" s="4"/>
      <c r="W120" s="4"/>
      <c r="X120" s="4"/>
      <c r="Y120" s="4">
        <f t="shared" ref="Y120:Z120" si="359">(L120-L119)/L119</f>
        <v>0.01766497523</v>
      </c>
      <c r="Z120" s="4">
        <f t="shared" si="359"/>
        <v>0.09669911476</v>
      </c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</row>
    <row r="121" ht="14.25" customHeight="1">
      <c r="A121" s="12">
        <v>45385.0</v>
      </c>
      <c r="B121" s="13">
        <v>3920.2</v>
      </c>
      <c r="C121" s="13">
        <v>19.27</v>
      </c>
      <c r="D121" s="13">
        <v>13313.5</v>
      </c>
      <c r="E121" s="4">
        <f t="shared" ref="E121:G121" si="360">LN(B121/B120)</f>
        <v>0.01340509532</v>
      </c>
      <c r="F121" s="4">
        <f t="shared" si="360"/>
        <v>0.02203656853</v>
      </c>
      <c r="G121" s="4">
        <f t="shared" si="360"/>
        <v>0.02382920056</v>
      </c>
      <c r="H121" s="4">
        <f t="shared" si="2"/>
        <v>5693.4801</v>
      </c>
      <c r="I121" s="4">
        <f t="shared" si="6"/>
        <v>0.02144909003</v>
      </c>
      <c r="J121" s="4">
        <f t="shared" si="7"/>
        <v>0.02150237393</v>
      </c>
      <c r="K121" s="4">
        <f t="shared" si="8"/>
        <v>0.000000002839173669</v>
      </c>
      <c r="L121" s="14">
        <v>3395.59</v>
      </c>
      <c r="M121" s="4">
        <f t="shared" si="3"/>
        <v>11154.84876</v>
      </c>
      <c r="N121" s="4"/>
      <c r="O121" s="4"/>
      <c r="P121" s="4"/>
      <c r="Q121" s="4">
        <f t="shared" ref="Q121:S121" si="361">IF(E120=0,0,(E121-E120)/E120)</f>
        <v>-1.388482181</v>
      </c>
      <c r="R121" s="4">
        <f t="shared" si="361"/>
        <v>0.05404413577</v>
      </c>
      <c r="S121" s="4">
        <f t="shared" si="361"/>
        <v>-0.770765624</v>
      </c>
      <c r="T121" s="15">
        <v>3395.59</v>
      </c>
      <c r="U121" s="4"/>
      <c r="V121" s="4"/>
      <c r="W121" s="4"/>
      <c r="X121" s="4"/>
      <c r="Y121" s="4">
        <f t="shared" ref="Y121:Z121" si="362">(L121-L120)/L120</f>
        <v>0.007207923377</v>
      </c>
      <c r="Z121" s="4">
        <f t="shared" si="362"/>
        <v>0.02327766475</v>
      </c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</row>
    <row r="122" ht="14.25" customHeight="1">
      <c r="A122" s="7">
        <v>45386.0</v>
      </c>
      <c r="B122" s="8">
        <v>3960.0</v>
      </c>
      <c r="C122" s="8">
        <v>19.13</v>
      </c>
      <c r="D122" s="8">
        <v>13105.0</v>
      </c>
      <c r="E122" s="4">
        <f t="shared" ref="E122:G122" si="363">LN(B122/B121)</f>
        <v>0.01010135236</v>
      </c>
      <c r="F122" s="4">
        <f t="shared" si="363"/>
        <v>-0.007291698974</v>
      </c>
      <c r="G122" s="4">
        <f t="shared" si="363"/>
        <v>-0.01578472124</v>
      </c>
      <c r="H122" s="4">
        <f t="shared" si="2"/>
        <v>5637.7629</v>
      </c>
      <c r="I122" s="4">
        <f t="shared" si="6"/>
        <v>-0.009834340161</v>
      </c>
      <c r="J122" s="4">
        <f t="shared" si="7"/>
        <v>-0.009985110634</v>
      </c>
      <c r="K122" s="4">
        <f t="shared" si="8"/>
        <v>0.0000000227317355</v>
      </c>
      <c r="L122" s="9">
        <v>3407.57</v>
      </c>
      <c r="M122" s="4">
        <f t="shared" si="3"/>
        <v>11002.65155</v>
      </c>
      <c r="N122" s="4"/>
      <c r="O122" s="4"/>
      <c r="P122" s="4"/>
      <c r="Q122" s="4">
        <f t="shared" ref="Q122:S122" si="364">IF(E121=0,0,(E122-E121)/E121)</f>
        <v>-0.2464542685</v>
      </c>
      <c r="R122" s="4">
        <f t="shared" si="364"/>
        <v>-1.330890854</v>
      </c>
      <c r="S122" s="4">
        <f t="shared" si="364"/>
        <v>-1.66241086</v>
      </c>
      <c r="T122" s="11">
        <v>3407.57</v>
      </c>
      <c r="U122" s="4"/>
      <c r="V122" s="4"/>
      <c r="W122" s="4"/>
      <c r="X122" s="4"/>
      <c r="Y122" s="4">
        <f t="shared" ref="Y122:Z122" si="365">(L122-L121)/L121</f>
        <v>0.003528105572</v>
      </c>
      <c r="Z122" s="4">
        <f t="shared" si="365"/>
        <v>-0.01364404099</v>
      </c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</row>
    <row r="123" ht="14.25" customHeight="1">
      <c r="A123" s="12">
        <v>45387.0</v>
      </c>
      <c r="B123" s="13">
        <v>3995.0</v>
      </c>
      <c r="C123" s="13">
        <v>18.79</v>
      </c>
      <c r="D123" s="13">
        <v>13363.5</v>
      </c>
      <c r="E123" s="4">
        <f t="shared" ref="E123:G123" si="366">LN(B123/B122)</f>
        <v>0.008799553952</v>
      </c>
      <c r="F123" s="4">
        <f t="shared" si="366"/>
        <v>-0.01793297003</v>
      </c>
      <c r="G123" s="4">
        <f t="shared" si="366"/>
        <v>0.01953327307</v>
      </c>
      <c r="H123" s="4">
        <f t="shared" si="2"/>
        <v>5734.5057</v>
      </c>
      <c r="I123" s="4">
        <f t="shared" si="6"/>
        <v>0.01701421892</v>
      </c>
      <c r="J123" s="4">
        <f t="shared" si="7"/>
        <v>0.01694849039</v>
      </c>
      <c r="K123" s="4">
        <f t="shared" si="8"/>
        <v>0.000000004320239251</v>
      </c>
      <c r="L123" s="14">
        <v>3395.37</v>
      </c>
      <c r="M123" s="4">
        <f t="shared" si="3"/>
        <v>11210.09428</v>
      </c>
      <c r="N123" s="4"/>
      <c r="O123" s="4"/>
      <c r="P123" s="4"/>
      <c r="Q123" s="4">
        <f t="shared" ref="Q123:S123" si="367">IF(E122=0,0,(E123-E122)/E122)</f>
        <v>-0.1288736755</v>
      </c>
      <c r="R123" s="4">
        <f t="shared" si="367"/>
        <v>1.45936785</v>
      </c>
      <c r="S123" s="4">
        <f t="shared" si="367"/>
        <v>-2.237479761</v>
      </c>
      <c r="T123" s="15">
        <v>3395.37</v>
      </c>
      <c r="U123" s="4"/>
      <c r="V123" s="4"/>
      <c r="W123" s="4"/>
      <c r="X123" s="4"/>
      <c r="Y123" s="4">
        <f t="shared" ref="Y123:Z123" si="368">(L123-L122)/L122</f>
        <v>-0.003580263942</v>
      </c>
      <c r="Z123" s="4">
        <f t="shared" si="368"/>
        <v>0.01885388561</v>
      </c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</row>
    <row r="124" ht="14.25" customHeight="1">
      <c r="A124" s="7">
        <v>45390.0</v>
      </c>
      <c r="B124" s="8">
        <v>3959.0</v>
      </c>
      <c r="C124" s="8">
        <v>18.65</v>
      </c>
      <c r="D124" s="8">
        <v>13455.0</v>
      </c>
      <c r="E124" s="4">
        <f t="shared" ref="E124:G124" si="369">LN(B124/B123)</f>
        <v>-0.009052111094</v>
      </c>
      <c r="F124" s="4">
        <f t="shared" si="369"/>
        <v>-0.007478667336</v>
      </c>
      <c r="G124" s="4">
        <f t="shared" si="369"/>
        <v>0.006823674332</v>
      </c>
      <c r="H124" s="4">
        <f t="shared" si="2"/>
        <v>5752.7745</v>
      </c>
      <c r="I124" s="4">
        <f t="shared" si="6"/>
        <v>0.003180703366</v>
      </c>
      <c r="J124" s="4">
        <f t="shared" si="7"/>
        <v>0.003218594481</v>
      </c>
      <c r="K124" s="4">
        <f t="shared" si="8"/>
        <v>0.000000001435736556</v>
      </c>
      <c r="L124" s="9">
        <v>3417.38</v>
      </c>
      <c r="M124" s="4">
        <f t="shared" si="3"/>
        <v>11272.76465</v>
      </c>
      <c r="N124" s="4"/>
      <c r="O124" s="4"/>
      <c r="P124" s="4"/>
      <c r="Q124" s="4">
        <f t="shared" ref="Q124:S124" si="370">IF(E123=0,0,(E124-E123)/E123)</f>
        <v>-2.02870113</v>
      </c>
      <c r="R124" s="4">
        <f t="shared" si="370"/>
        <v>-0.5829654918</v>
      </c>
      <c r="S124" s="4">
        <f t="shared" si="370"/>
        <v>-0.6506640588</v>
      </c>
      <c r="T124" s="11">
        <v>3417.38</v>
      </c>
      <c r="U124" s="4"/>
      <c r="V124" s="4"/>
      <c r="W124" s="4"/>
      <c r="X124" s="4"/>
      <c r="Y124" s="4">
        <f t="shared" ref="Y124:Z124" si="371">(L124-L123)/L123</f>
        <v>0.006482356857</v>
      </c>
      <c r="Z124" s="4">
        <f t="shared" si="371"/>
        <v>0.005590530133</v>
      </c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</row>
    <row r="125" ht="14.25" customHeight="1">
      <c r="A125" s="12">
        <v>45391.0</v>
      </c>
      <c r="B125" s="13">
        <v>3954.6</v>
      </c>
      <c r="C125" s="13">
        <v>18.27</v>
      </c>
      <c r="D125" s="13">
        <v>13920.0</v>
      </c>
      <c r="E125" s="4">
        <f t="shared" ref="E125:G125" si="372">LN(B125/B124)</f>
        <v>-0.001112009819</v>
      </c>
      <c r="F125" s="4">
        <f t="shared" si="372"/>
        <v>-0.0205857757</v>
      </c>
      <c r="G125" s="4">
        <f t="shared" si="372"/>
        <v>0.03397587073</v>
      </c>
      <c r="H125" s="4">
        <f t="shared" si="2"/>
        <v>5904.6471</v>
      </c>
      <c r="I125" s="4">
        <f t="shared" si="6"/>
        <v>0.02605742478</v>
      </c>
      <c r="J125" s="4">
        <f t="shared" si="7"/>
        <v>0.02588642154</v>
      </c>
      <c r="K125" s="4">
        <f t="shared" si="8"/>
        <v>0.00000002924210793</v>
      </c>
      <c r="L125" s="14">
        <v>3414.26</v>
      </c>
      <c r="M125" s="4">
        <f t="shared" si="3"/>
        <v>11630.94778</v>
      </c>
      <c r="N125" s="4"/>
      <c r="O125" s="4"/>
      <c r="P125" s="4"/>
      <c r="Q125" s="4">
        <f t="shared" ref="Q125:S125" si="373">IF(E124=0,0,(E125-E124)/E124)</f>
        <v>-0.877154643</v>
      </c>
      <c r="R125" s="4">
        <f t="shared" si="373"/>
        <v>1.752599464</v>
      </c>
      <c r="S125" s="4">
        <f t="shared" si="373"/>
        <v>3.979116686</v>
      </c>
      <c r="T125" s="15">
        <v>3414.26</v>
      </c>
      <c r="U125" s="4"/>
      <c r="V125" s="4"/>
      <c r="W125" s="4"/>
      <c r="X125" s="4"/>
      <c r="Y125" s="4">
        <f t="shared" ref="Y125:Z125" si="374">(L125-L124)/L124</f>
        <v>-0.0009129801193</v>
      </c>
      <c r="Z125" s="4">
        <f t="shared" si="374"/>
        <v>0.03177420425</v>
      </c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</row>
    <row r="126" ht="14.25" customHeight="1">
      <c r="A126" s="7">
        <v>45392.0</v>
      </c>
      <c r="B126" s="8">
        <v>3980.0</v>
      </c>
      <c r="C126" s="8">
        <v>18.01</v>
      </c>
      <c r="D126" s="8">
        <v>13710.5</v>
      </c>
      <c r="E126" s="4">
        <f t="shared" ref="E126:G126" si="375">LN(B126/B125)</f>
        <v>0.006402360992</v>
      </c>
      <c r="F126" s="4">
        <f t="shared" si="375"/>
        <v>-0.0143332112</v>
      </c>
      <c r="G126" s="4">
        <f t="shared" si="375"/>
        <v>-0.01516469227</v>
      </c>
      <c r="H126" s="4">
        <f t="shared" si="2"/>
        <v>5843.8083</v>
      </c>
      <c r="I126" s="4">
        <f t="shared" si="6"/>
        <v>-0.01035699447</v>
      </c>
      <c r="J126" s="4">
        <f t="shared" si="7"/>
        <v>-0.01036583669</v>
      </c>
      <c r="K126" s="4">
        <f t="shared" si="8"/>
        <v>0</v>
      </c>
      <c r="L126" s="9">
        <v>3439.11</v>
      </c>
      <c r="M126" s="4">
        <f t="shared" si="3"/>
        <v>11474.77635</v>
      </c>
      <c r="N126" s="4"/>
      <c r="O126" s="4"/>
      <c r="P126" s="4"/>
      <c r="Q126" s="4">
        <f t="shared" ref="Q126:S126" si="376">IF(E125=0,0,(E126-E125)/E125)</f>
        <v>-6.757468037</v>
      </c>
      <c r="R126" s="4">
        <f t="shared" si="376"/>
        <v>-0.3037322756</v>
      </c>
      <c r="S126" s="4">
        <f t="shared" si="376"/>
        <v>-1.446337119</v>
      </c>
      <c r="T126" s="11">
        <v>3439.11</v>
      </c>
      <c r="U126" s="4"/>
      <c r="V126" s="4"/>
      <c r="W126" s="4"/>
      <c r="X126" s="4"/>
      <c r="Y126" s="4">
        <f t="shared" ref="Y126:Z126" si="377">(L126-L125)/L125</f>
        <v>0.007278297493</v>
      </c>
      <c r="Z126" s="4">
        <f t="shared" si="377"/>
        <v>-0.01342723122</v>
      </c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</row>
    <row r="127" ht="14.25" customHeight="1">
      <c r="A127" s="12">
        <v>45393.0</v>
      </c>
      <c r="B127" s="13">
        <v>3946.0</v>
      </c>
      <c r="C127" s="13">
        <v>17.78</v>
      </c>
      <c r="D127" s="13">
        <v>14158.0</v>
      </c>
      <c r="E127" s="4">
        <f t="shared" ref="E127:G127" si="378">LN(B127/B126)</f>
        <v>-0.008579411696</v>
      </c>
      <c r="F127" s="4">
        <f t="shared" si="378"/>
        <v>-0.0128529291</v>
      </c>
      <c r="G127" s="4">
        <f t="shared" si="378"/>
        <v>0.03211787271</v>
      </c>
      <c r="H127" s="4">
        <f t="shared" si="2"/>
        <v>5980.1874</v>
      </c>
      <c r="I127" s="4">
        <f t="shared" si="6"/>
        <v>0.02306921479</v>
      </c>
      <c r="J127" s="4">
        <f t="shared" si="7"/>
        <v>0.02283227618</v>
      </c>
      <c r="K127" s="4">
        <f t="shared" si="8"/>
        <v>0.00000005613990441</v>
      </c>
      <c r="L127" s="14">
        <v>3439.53</v>
      </c>
      <c r="M127" s="4">
        <f t="shared" si="3"/>
        <v>11812.86317</v>
      </c>
      <c r="N127" s="4"/>
      <c r="O127" s="4"/>
      <c r="P127" s="4"/>
      <c r="Q127" s="4">
        <f t="shared" ref="Q127:S127" si="379">IF(E126=0,0,(E127-E126)/E126)</f>
        <v>-2.340038731</v>
      </c>
      <c r="R127" s="4">
        <f t="shared" si="379"/>
        <v>-0.1032763753</v>
      </c>
      <c r="S127" s="4">
        <f t="shared" si="379"/>
        <v>-3.117937651</v>
      </c>
      <c r="T127" s="15">
        <v>3439.53</v>
      </c>
      <c r="U127" s="4"/>
      <c r="V127" s="4"/>
      <c r="W127" s="4"/>
      <c r="X127" s="4"/>
      <c r="Y127" s="4">
        <f t="shared" ref="Y127:Z127" si="380">(L127-L126)/L126</f>
        <v>0.0001221246195</v>
      </c>
      <c r="Z127" s="4">
        <f t="shared" si="380"/>
        <v>0.02946347783</v>
      </c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</row>
    <row r="128" ht="14.25" customHeight="1">
      <c r="A128" s="7">
        <v>45394.0</v>
      </c>
      <c r="B128" s="8">
        <v>3990.0</v>
      </c>
      <c r="C128" s="8">
        <v>17.83</v>
      </c>
      <c r="D128" s="8">
        <v>14562.5</v>
      </c>
      <c r="E128" s="4">
        <f t="shared" ref="E128:G128" si="381">LN(B128/B127)</f>
        <v>0.0110888233</v>
      </c>
      <c r="F128" s="4">
        <f t="shared" si="381"/>
        <v>0.002808201789</v>
      </c>
      <c r="G128" s="4">
        <f t="shared" si="381"/>
        <v>0.02816989597</v>
      </c>
      <c r="H128" s="4">
        <f t="shared" si="2"/>
        <v>6128.2089</v>
      </c>
      <c r="I128" s="4">
        <f t="shared" si="6"/>
        <v>0.02445061602</v>
      </c>
      <c r="J128" s="4">
        <f t="shared" si="7"/>
        <v>0.02423824328</v>
      </c>
      <c r="K128" s="4">
        <f t="shared" si="8"/>
        <v>0.00000004510217863</v>
      </c>
      <c r="L128" s="9">
        <v>3456.24</v>
      </c>
      <c r="M128" s="4">
        <f t="shared" si="3"/>
        <v>12135.07825</v>
      </c>
      <c r="N128" s="4"/>
      <c r="O128" s="4"/>
      <c r="P128" s="4"/>
      <c r="Q128" s="4">
        <f t="shared" ref="Q128:S128" si="382">IF(E127=0,0,(E128-E127)/E127)</f>
        <v>-2.29249227</v>
      </c>
      <c r="R128" s="4">
        <f t="shared" si="382"/>
        <v>-1.218487301</v>
      </c>
      <c r="S128" s="4">
        <f t="shared" si="382"/>
        <v>-0.122921489</v>
      </c>
      <c r="T128" s="11">
        <v>3456.24</v>
      </c>
      <c r="U128" s="4"/>
      <c r="V128" s="4"/>
      <c r="W128" s="4"/>
      <c r="X128" s="4"/>
      <c r="Y128" s="4">
        <f t="shared" ref="Y128:Z128" si="383">(L128-L127)/L127</f>
        <v>0.004858221908</v>
      </c>
      <c r="Z128" s="4">
        <f t="shared" si="383"/>
        <v>0.02727662893</v>
      </c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</row>
    <row r="129" ht="14.25" customHeight="1">
      <c r="A129" s="12">
        <v>45397.0</v>
      </c>
      <c r="B129" s="13">
        <v>4046.0</v>
      </c>
      <c r="C129" s="13">
        <v>17.6</v>
      </c>
      <c r="D129" s="13">
        <v>14569.5</v>
      </c>
      <c r="E129" s="4">
        <f t="shared" ref="E129:G129" si="384">LN(B129/B128)</f>
        <v>0.01393750784</v>
      </c>
      <c r="F129" s="4">
        <f t="shared" si="384"/>
        <v>-0.01298352983</v>
      </c>
      <c r="G129" s="4">
        <f t="shared" si="384"/>
        <v>0.0004805712024</v>
      </c>
      <c r="H129" s="4">
        <f t="shared" si="2"/>
        <v>6148.923</v>
      </c>
      <c r="I129" s="4">
        <f t="shared" si="6"/>
        <v>0.003374423249</v>
      </c>
      <c r="J129" s="4">
        <f t="shared" si="7"/>
        <v>0.003400723863</v>
      </c>
      <c r="K129" s="4">
        <f t="shared" si="8"/>
        <v>0.0000000006917222873</v>
      </c>
      <c r="L129" s="14">
        <v>3472.19</v>
      </c>
      <c r="M129" s="4">
        <f t="shared" si="3"/>
        <v>12152.93283</v>
      </c>
      <c r="N129" s="4"/>
      <c r="O129" s="4"/>
      <c r="P129" s="4"/>
      <c r="Q129" s="4">
        <f t="shared" ref="Q129:S129" si="385">IF(E128=0,0,(E129-E128)/E128)</f>
        <v>0.2568969191</v>
      </c>
      <c r="R129" s="4">
        <f t="shared" si="385"/>
        <v>-5.623431934</v>
      </c>
      <c r="S129" s="4">
        <f t="shared" si="385"/>
        <v>-0.9829402564</v>
      </c>
      <c r="T129" s="15">
        <v>3472.19</v>
      </c>
      <c r="U129" s="4"/>
      <c r="V129" s="4"/>
      <c r="W129" s="4"/>
      <c r="X129" s="4"/>
      <c r="Y129" s="4">
        <f t="shared" ref="Y129:Z129" si="386">(L129-L128)/L128</f>
        <v>0.004614841562</v>
      </c>
      <c r="Z129" s="4">
        <f t="shared" si="386"/>
        <v>0.001471319488</v>
      </c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</row>
    <row r="130" ht="14.25" customHeight="1">
      <c r="A130" s="7">
        <v>45398.0</v>
      </c>
      <c r="B130" s="8">
        <v>4049.6</v>
      </c>
      <c r="C130" s="8">
        <v>17.12</v>
      </c>
      <c r="D130" s="8">
        <v>14469.0</v>
      </c>
      <c r="E130" s="4">
        <f t="shared" ref="E130:G130" si="387">LN(B130/B129)</f>
        <v>0.0008893720632</v>
      </c>
      <c r="F130" s="4">
        <f t="shared" si="387"/>
        <v>-0.02765153133</v>
      </c>
      <c r="G130" s="4">
        <f t="shared" si="387"/>
        <v>-0.006921872773</v>
      </c>
      <c r="H130" s="4">
        <f t="shared" si="2"/>
        <v>6116.7876</v>
      </c>
      <c r="I130" s="4">
        <f t="shared" si="6"/>
        <v>-0.005239887777</v>
      </c>
      <c r="J130" s="4">
        <f t="shared" si="7"/>
        <v>-0.005295300492</v>
      </c>
      <c r="K130" s="4">
        <f t="shared" si="8"/>
        <v>0.000000003070568905</v>
      </c>
      <c r="L130" s="9">
        <v>3462.94</v>
      </c>
      <c r="M130" s="4">
        <f t="shared" si="3"/>
        <v>12076.10497</v>
      </c>
      <c r="N130" s="4"/>
      <c r="O130" s="4"/>
      <c r="P130" s="4"/>
      <c r="Q130" s="4">
        <f t="shared" ref="Q130:S130" si="388">IF(E129=0,0,(E130-E129)/E129)</f>
        <v>-0.9361885874</v>
      </c>
      <c r="R130" s="4">
        <f t="shared" si="388"/>
        <v>1.129739115</v>
      </c>
      <c r="S130" s="4">
        <f t="shared" si="388"/>
        <v>-15.40342813</v>
      </c>
      <c r="T130" s="11">
        <v>3462.94</v>
      </c>
      <c r="U130" s="4"/>
      <c r="V130" s="4"/>
      <c r="W130" s="4"/>
      <c r="X130" s="4"/>
      <c r="Y130" s="4">
        <f t="shared" ref="Y130:Z130" si="389">(L130-L129)/L129</f>
        <v>-0.002664024722</v>
      </c>
      <c r="Z130" s="4">
        <f t="shared" si="389"/>
        <v>-0.00632175481</v>
      </c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</row>
    <row r="131" ht="14.25" customHeight="1">
      <c r="A131" s="12">
        <v>45399.0</v>
      </c>
      <c r="B131" s="13">
        <v>4199.8</v>
      </c>
      <c r="C131" s="13">
        <v>17.26</v>
      </c>
      <c r="D131" s="13">
        <v>14130.5</v>
      </c>
      <c r="E131" s="4">
        <f t="shared" ref="E131:G131" si="390">LN(B131/B130)</f>
        <v>0.0364187943</v>
      </c>
      <c r="F131" s="4">
        <f t="shared" si="390"/>
        <v>0.008144314942</v>
      </c>
      <c r="G131" s="4">
        <f t="shared" si="390"/>
        <v>-0.02367284798</v>
      </c>
      <c r="H131" s="4">
        <f t="shared" si="2"/>
        <v>6054.6948</v>
      </c>
      <c r="I131" s="4">
        <f t="shared" si="6"/>
        <v>-0.01020308564</v>
      </c>
      <c r="J131" s="4">
        <f t="shared" si="7"/>
        <v>-0.01014553892</v>
      </c>
      <c r="K131" s="4">
        <f t="shared" si="8"/>
        <v>0.00000000331162496</v>
      </c>
      <c r="L131" s="14">
        <v>3454.07</v>
      </c>
      <c r="M131" s="4">
        <f t="shared" si="3"/>
        <v>11848.04039</v>
      </c>
      <c r="N131" s="4"/>
      <c r="O131" s="4"/>
      <c r="P131" s="4"/>
      <c r="Q131" s="4">
        <f t="shared" ref="Q131:S131" si="391">IF(E130=0,0,(E131-E130)/E130)</f>
        <v>39.94888496</v>
      </c>
      <c r="R131" s="4">
        <f t="shared" si="391"/>
        <v>-1.294533957</v>
      </c>
      <c r="S131" s="4">
        <f t="shared" si="391"/>
        <v>2.420006226</v>
      </c>
      <c r="T131" s="15">
        <v>3454.07</v>
      </c>
      <c r="U131" s="4"/>
      <c r="V131" s="4"/>
      <c r="W131" s="4"/>
      <c r="X131" s="4"/>
      <c r="Y131" s="4">
        <f t="shared" ref="Y131:Z131" si="392">(L131-L130)/L130</f>
        <v>-0.002561407359</v>
      </c>
      <c r="Z131" s="4">
        <f t="shared" si="392"/>
        <v>-0.01888560767</v>
      </c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</row>
    <row r="132" ht="14.25" customHeight="1">
      <c r="A132" s="7">
        <v>45400.0</v>
      </c>
      <c r="B132" s="8">
        <v>4193.0</v>
      </c>
      <c r="C132" s="8">
        <v>17.24</v>
      </c>
      <c r="D132" s="8">
        <v>14235.0</v>
      </c>
      <c r="E132" s="4">
        <f t="shared" ref="E132:G132" si="393">LN(B132/B131)</f>
        <v>-0.001620436919</v>
      </c>
      <c r="F132" s="4">
        <f t="shared" si="393"/>
        <v>-0.00115942042</v>
      </c>
      <c r="G132" s="4">
        <f t="shared" si="393"/>
        <v>0.007368138955</v>
      </c>
      <c r="H132" s="4">
        <f t="shared" si="2"/>
        <v>6086.9292</v>
      </c>
      <c r="I132" s="4">
        <f t="shared" si="6"/>
        <v>0.005309746988</v>
      </c>
      <c r="J132" s="4">
        <f t="shared" si="7"/>
        <v>0.005324730633</v>
      </c>
      <c r="K132" s="4">
        <f t="shared" si="8"/>
        <v>0.000000000224509607</v>
      </c>
      <c r="L132" s="9">
        <v>3455.82</v>
      </c>
      <c r="M132" s="4">
        <f t="shared" si="3"/>
        <v>11927.2438</v>
      </c>
      <c r="N132" s="4"/>
      <c r="O132" s="4"/>
      <c r="P132" s="4"/>
      <c r="Q132" s="4">
        <f t="shared" ref="Q132:S132" si="394">IF(E131=0,0,(E132-E131)/E131)</f>
        <v>-1.044494524</v>
      </c>
      <c r="R132" s="4">
        <f t="shared" si="394"/>
        <v>-1.142359478</v>
      </c>
      <c r="S132" s="4">
        <f t="shared" si="394"/>
        <v>-1.311248522</v>
      </c>
      <c r="T132" s="11">
        <v>3455.82</v>
      </c>
      <c r="U132" s="4"/>
      <c r="V132" s="4"/>
      <c r="W132" s="4"/>
      <c r="X132" s="4"/>
      <c r="Y132" s="4">
        <f t="shared" ref="Y132:Z132" si="395">(L132-L131)/L131</f>
        <v>0.0005066486782</v>
      </c>
      <c r="Z132" s="4">
        <f t="shared" si="395"/>
        <v>0.006684937864</v>
      </c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</row>
    <row r="133" ht="14.25" customHeight="1">
      <c r="A133" s="12">
        <v>45401.0</v>
      </c>
      <c r="B133" s="13">
        <v>4257.2</v>
      </c>
      <c r="C133" s="13">
        <v>17.18</v>
      </c>
      <c r="D133" s="13">
        <v>14253.5</v>
      </c>
      <c r="E133" s="4">
        <f t="shared" ref="E133:G133" si="396">LN(B133/B132)</f>
        <v>0.015195199</v>
      </c>
      <c r="F133" s="4">
        <f t="shared" si="396"/>
        <v>-0.003486348679</v>
      </c>
      <c r="G133" s="4">
        <f t="shared" si="396"/>
        <v>0.001298769862</v>
      </c>
      <c r="H133" s="4">
        <f t="shared" si="2"/>
        <v>6114.2004</v>
      </c>
      <c r="I133" s="4">
        <f t="shared" si="6"/>
        <v>0.004470282065</v>
      </c>
      <c r="J133" s="4">
        <f t="shared" si="7"/>
        <v>0.004362636147</v>
      </c>
      <c r="K133" s="4">
        <f t="shared" si="8"/>
        <v>0.00000001158764381</v>
      </c>
      <c r="L133" s="14">
        <v>3470.88</v>
      </c>
      <c r="M133" s="4">
        <f t="shared" si="3"/>
        <v>11955.80471</v>
      </c>
      <c r="N133" s="4"/>
      <c r="O133" s="4"/>
      <c r="P133" s="4"/>
      <c r="Q133" s="4">
        <f t="shared" ref="Q133:S133" si="397">IF(E132=0,0,(E133-E132)/E132)</f>
        <v>-10.3772234</v>
      </c>
      <c r="R133" s="4">
        <f t="shared" si="397"/>
        <v>2.006975399</v>
      </c>
      <c r="S133" s="4">
        <f t="shared" si="397"/>
        <v>-0.8237316276</v>
      </c>
      <c r="T133" s="15">
        <v>3470.88</v>
      </c>
      <c r="U133" s="4"/>
      <c r="V133" s="4"/>
      <c r="W133" s="4"/>
      <c r="X133" s="4"/>
      <c r="Y133" s="4">
        <f t="shared" ref="Y133:Z133" si="398">(L133-L132)/L132</f>
        <v>0.004357865861</v>
      </c>
      <c r="Z133" s="4">
        <f t="shared" si="398"/>
        <v>0.002394593953</v>
      </c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</row>
    <row r="134" ht="14.25" customHeight="1">
      <c r="A134" s="7">
        <v>45404.0</v>
      </c>
      <c r="B134" s="8">
        <v>4290.2</v>
      </c>
      <c r="C134" s="8">
        <v>17.64</v>
      </c>
      <c r="D134" s="8">
        <v>13861.0</v>
      </c>
      <c r="E134" s="4">
        <f t="shared" ref="E134:G134" si="399">LN(B134/B133)</f>
        <v>0.007721684715</v>
      </c>
      <c r="F134" s="4">
        <f t="shared" si="399"/>
        <v>0.02642313402</v>
      </c>
      <c r="G134" s="4">
        <f t="shared" si="399"/>
        <v>-0.02792334936</v>
      </c>
      <c r="H134" s="4">
        <f t="shared" si="2"/>
        <v>5995.7172</v>
      </c>
      <c r="I134" s="4">
        <f t="shared" si="6"/>
        <v>-0.01956858581</v>
      </c>
      <c r="J134" s="4">
        <f t="shared" si="7"/>
        <v>-0.01971118329</v>
      </c>
      <c r="K134" s="4">
        <f t="shared" si="8"/>
        <v>0.00000002033404077</v>
      </c>
      <c r="L134" s="9">
        <v>3479.17</v>
      </c>
      <c r="M134" s="4">
        <f t="shared" si="3"/>
        <v>11659.97848</v>
      </c>
      <c r="N134" s="4"/>
      <c r="O134" s="4"/>
      <c r="P134" s="4"/>
      <c r="Q134" s="4">
        <f t="shared" ref="Q134:S134" si="400">IF(E133=0,0,(E134-E133)/E133)</f>
        <v>-0.4918339196</v>
      </c>
      <c r="R134" s="4">
        <f t="shared" si="400"/>
        <v>-8.579027932</v>
      </c>
      <c r="S134" s="4">
        <f t="shared" si="400"/>
        <v>-22.49984396</v>
      </c>
      <c r="T134" s="11">
        <v>3479.17</v>
      </c>
      <c r="U134" s="4"/>
      <c r="V134" s="4"/>
      <c r="W134" s="4"/>
      <c r="X134" s="4"/>
      <c r="Y134" s="4">
        <f t="shared" ref="Y134:Z134" si="401">(L134-L133)/L133</f>
        <v>0.002388443277</v>
      </c>
      <c r="Z134" s="4">
        <f t="shared" si="401"/>
        <v>-0.0247433136</v>
      </c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</row>
    <row r="135" ht="14.25" customHeight="1">
      <c r="A135" s="12">
        <v>45405.0</v>
      </c>
      <c r="B135" s="13">
        <v>4172.2</v>
      </c>
      <c r="C135" s="13">
        <v>18.2</v>
      </c>
      <c r="D135" s="13">
        <v>13600.0</v>
      </c>
      <c r="E135" s="4">
        <f t="shared" ref="E135:G135" si="402">LN(B135/B134)</f>
        <v>-0.02788987727</v>
      </c>
      <c r="F135" s="4">
        <f t="shared" si="402"/>
        <v>0.0312525435</v>
      </c>
      <c r="G135" s="4">
        <f t="shared" si="402"/>
        <v>-0.01900934849</v>
      </c>
      <c r="H135" s="4">
        <f t="shared" si="2"/>
        <v>5870.832</v>
      </c>
      <c r="I135" s="4">
        <f t="shared" si="6"/>
        <v>-0.02104905291</v>
      </c>
      <c r="J135" s="4">
        <f t="shared" si="7"/>
        <v>-0.02071705874</v>
      </c>
      <c r="K135" s="4">
        <f t="shared" si="8"/>
        <v>0.0000001102201253</v>
      </c>
      <c r="L135" s="14">
        <v>3439.42</v>
      </c>
      <c r="M135" s="4">
        <f t="shared" si="3"/>
        <v>11432.15468</v>
      </c>
      <c r="N135" s="4"/>
      <c r="O135" s="4"/>
      <c r="P135" s="4"/>
      <c r="Q135" s="4">
        <f t="shared" ref="Q135:S135" si="403">IF(E134=0,0,(E135-E134)/E134)</f>
        <v>-4.61189019</v>
      </c>
      <c r="R135" s="4">
        <f t="shared" si="403"/>
        <v>0.1827720163</v>
      </c>
      <c r="S135" s="4">
        <f t="shared" si="403"/>
        <v>-0.3192310763</v>
      </c>
      <c r="T135" s="15">
        <v>3439.42</v>
      </c>
      <c r="U135" s="4"/>
      <c r="V135" s="4"/>
      <c r="W135" s="4"/>
      <c r="X135" s="4"/>
      <c r="Y135" s="4">
        <f t="shared" ref="Y135:Z135" si="404">(L135-L134)/L134</f>
        <v>-0.01142513875</v>
      </c>
      <c r="Z135" s="4">
        <f t="shared" si="404"/>
        <v>-0.01953895583</v>
      </c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</row>
    <row r="136" ht="14.25" customHeight="1">
      <c r="A136" s="7">
        <v>45406.0</v>
      </c>
      <c r="B136" s="8">
        <v>4111.8</v>
      </c>
      <c r="C136" s="8">
        <v>18.3</v>
      </c>
      <c r="D136" s="8">
        <v>13311.0</v>
      </c>
      <c r="E136" s="4">
        <f t="shared" ref="E136:G136" si="405">LN(B136/B135)</f>
        <v>-0.01458258579</v>
      </c>
      <c r="F136" s="4">
        <f t="shared" si="405"/>
        <v>0.005479465765</v>
      </c>
      <c r="G136" s="4">
        <f t="shared" si="405"/>
        <v>-0.02147903168</v>
      </c>
      <c r="H136" s="4">
        <f t="shared" si="2"/>
        <v>5755.563</v>
      </c>
      <c r="I136" s="4">
        <f t="shared" si="6"/>
        <v>-0.01982949608</v>
      </c>
      <c r="J136" s="4">
        <f t="shared" si="7"/>
        <v>-0.01980299908</v>
      </c>
      <c r="K136" s="4">
        <f t="shared" si="8"/>
        <v>0.0000000007020912538</v>
      </c>
      <c r="L136" s="9">
        <v>3428.93</v>
      </c>
      <c r="M136" s="4">
        <f t="shared" si="3"/>
        <v>11195.50612</v>
      </c>
      <c r="N136" s="4"/>
      <c r="O136" s="4"/>
      <c r="P136" s="4"/>
      <c r="Q136" s="4">
        <f t="shared" ref="Q136:S136" si="406">IF(E135=0,0,(E136-E135)/E135)</f>
        <v>-0.4771369681</v>
      </c>
      <c r="R136" s="4">
        <f t="shared" si="406"/>
        <v>-0.8246713659</v>
      </c>
      <c r="S136" s="4">
        <f t="shared" si="406"/>
        <v>0.129919402</v>
      </c>
      <c r="T136" s="11">
        <v>3428.93</v>
      </c>
      <c r="U136" s="4"/>
      <c r="V136" s="4"/>
      <c r="W136" s="4"/>
      <c r="X136" s="4"/>
      <c r="Y136" s="4">
        <f t="shared" ref="Y136:Z136" si="407">(L136-L135)/L135</f>
        <v>-0.003049932838</v>
      </c>
      <c r="Z136" s="4">
        <f t="shared" si="407"/>
        <v>-0.02070025834</v>
      </c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</row>
    <row r="137" ht="14.25" customHeight="1">
      <c r="A137" s="12">
        <v>45407.0</v>
      </c>
      <c r="B137" s="13">
        <v>4164.6</v>
      </c>
      <c r="C137" s="13">
        <v>18.04</v>
      </c>
      <c r="D137" s="13">
        <v>13592.0</v>
      </c>
      <c r="E137" s="4">
        <f t="shared" ref="E137:G137" si="408">LN(B137/B136)</f>
        <v>0.01275934375</v>
      </c>
      <c r="F137" s="4">
        <f t="shared" si="408"/>
        <v>-0.01430954521</v>
      </c>
      <c r="G137" s="4">
        <f t="shared" si="408"/>
        <v>0.0208906233</v>
      </c>
      <c r="H137" s="4">
        <f t="shared" si="2"/>
        <v>5865.6312</v>
      </c>
      <c r="I137" s="4">
        <f t="shared" si="6"/>
        <v>0.01894323243</v>
      </c>
      <c r="J137" s="4">
        <f t="shared" si="7"/>
        <v>0.01889638782</v>
      </c>
      <c r="K137" s="4">
        <f t="shared" si="8"/>
        <v>0.000000002194417939</v>
      </c>
      <c r="L137" s="14">
        <v>3439.76</v>
      </c>
      <c r="M137" s="4">
        <f t="shared" si="3"/>
        <v>11424.28517</v>
      </c>
      <c r="N137" s="4"/>
      <c r="O137" s="4"/>
      <c r="P137" s="4"/>
      <c r="Q137" s="4">
        <f t="shared" ref="Q137:S137" si="409">IF(E136=0,0,(E137-E136)/E136)</f>
        <v>-1.87497128</v>
      </c>
      <c r="R137" s="4">
        <f t="shared" si="409"/>
        <v>-3.611485467</v>
      </c>
      <c r="S137" s="4">
        <f t="shared" si="409"/>
        <v>-1.972605452</v>
      </c>
      <c r="T137" s="15">
        <v>3439.76</v>
      </c>
      <c r="U137" s="4"/>
      <c r="V137" s="4"/>
      <c r="W137" s="4"/>
      <c r="X137" s="4"/>
      <c r="Y137" s="4">
        <f t="shared" ref="Y137:Z137" si="410">(L137-L136)/L136</f>
        <v>0.003158419682</v>
      </c>
      <c r="Z137" s="4">
        <f t="shared" si="410"/>
        <v>0.02043489942</v>
      </c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</row>
    <row r="138" ht="14.25" customHeight="1">
      <c r="A138" s="7">
        <v>45408.0</v>
      </c>
      <c r="B138" s="8">
        <v>4231.6</v>
      </c>
      <c r="C138" s="8">
        <v>18.25</v>
      </c>
      <c r="D138" s="8">
        <v>13784.5</v>
      </c>
      <c r="E138" s="4">
        <f t="shared" ref="E138:G138" si="411">LN(B138/B137)</f>
        <v>0.01595993954</v>
      </c>
      <c r="F138" s="4">
        <f t="shared" si="411"/>
        <v>0.01157356539</v>
      </c>
      <c r="G138" s="4">
        <f t="shared" si="411"/>
        <v>0.01406338814</v>
      </c>
      <c r="H138" s="4">
        <f t="shared" si="2"/>
        <v>5951.3355</v>
      </c>
      <c r="I138" s="4">
        <f t="shared" si="6"/>
        <v>0.01450555036</v>
      </c>
      <c r="J138" s="4">
        <f t="shared" si="7"/>
        <v>0.01447179949</v>
      </c>
      <c r="K138" s="4">
        <f t="shared" si="8"/>
        <v>0.000000001139121068</v>
      </c>
      <c r="L138" s="9">
        <v>3449.77</v>
      </c>
      <c r="M138" s="4">
        <f t="shared" si="3"/>
        <v>11587.86654</v>
      </c>
      <c r="N138" s="4"/>
      <c r="O138" s="4"/>
      <c r="P138" s="4"/>
      <c r="Q138" s="4">
        <f t="shared" ref="Q138:S138" si="412">IF(E137=0,0,(E138-E137)/E137)</f>
        <v>0.2508432916</v>
      </c>
      <c r="R138" s="4">
        <f t="shared" si="412"/>
        <v>-1.808800365</v>
      </c>
      <c r="S138" s="4">
        <f t="shared" si="412"/>
        <v>-0.3268085909</v>
      </c>
      <c r="T138" s="11">
        <v>3449.77</v>
      </c>
      <c r="U138" s="4"/>
      <c r="V138" s="4"/>
      <c r="W138" s="4"/>
      <c r="X138" s="4"/>
      <c r="Y138" s="4">
        <f t="shared" ref="Y138:Z138" si="413">(L138-L137)/L137</f>
        <v>0.00291008675</v>
      </c>
      <c r="Z138" s="4">
        <f t="shared" si="413"/>
        <v>0.0143187402</v>
      </c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</row>
    <row r="139" ht="14.25" customHeight="1">
      <c r="A139" s="12">
        <v>45411.0</v>
      </c>
      <c r="B139" s="13">
        <v>4173.4</v>
      </c>
      <c r="C139" s="13">
        <v>18.09</v>
      </c>
      <c r="D139" s="13">
        <v>13577.5</v>
      </c>
      <c r="E139" s="4">
        <f t="shared" ref="E139:G139" si="414">LN(B139/B138)</f>
        <v>-0.01384912081</v>
      </c>
      <c r="F139" s="4">
        <f t="shared" si="414"/>
        <v>-0.008805780621</v>
      </c>
      <c r="G139" s="4">
        <f t="shared" si="414"/>
        <v>-0.01513076158</v>
      </c>
      <c r="H139" s="4">
        <f t="shared" si="2"/>
        <v>5863.7667</v>
      </c>
      <c r="I139" s="4">
        <f t="shared" si="6"/>
        <v>-0.01482346949</v>
      </c>
      <c r="J139" s="4">
        <f t="shared" si="7"/>
        <v>-0.01481231482</v>
      </c>
      <c r="K139" s="4">
        <f t="shared" si="8"/>
        <v>0.0000000001244266039</v>
      </c>
      <c r="L139" s="14">
        <v>3478.08</v>
      </c>
      <c r="M139" s="4">
        <f t="shared" si="3"/>
        <v>11415.04199</v>
      </c>
      <c r="N139" s="4"/>
      <c r="O139" s="4"/>
      <c r="P139" s="4"/>
      <c r="Q139" s="4">
        <f t="shared" ref="Q139:S139" si="415">IF(E138=0,0,(E139-E138)/E138)</f>
        <v>-1.867742687</v>
      </c>
      <c r="R139" s="4">
        <f t="shared" si="415"/>
        <v>-1.760852885</v>
      </c>
      <c r="S139" s="4">
        <f t="shared" si="415"/>
        <v>-2.075897318</v>
      </c>
      <c r="T139" s="15">
        <v>3478.08</v>
      </c>
      <c r="U139" s="4"/>
      <c r="V139" s="4"/>
      <c r="W139" s="4"/>
      <c r="X139" s="4"/>
      <c r="Y139" s="4">
        <f t="shared" ref="Y139:Z139" si="416">(L139-L138)/L138</f>
        <v>0.008206344191</v>
      </c>
      <c r="Z139" s="4">
        <f t="shared" si="416"/>
        <v>-0.01491426774</v>
      </c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</row>
    <row r="140" ht="14.25" customHeight="1">
      <c r="A140" s="7">
        <v>45412.0</v>
      </c>
      <c r="B140" s="8">
        <v>4149.6</v>
      </c>
      <c r="C140" s="8">
        <v>17.38</v>
      </c>
      <c r="D140" s="8">
        <v>13226.0</v>
      </c>
      <c r="E140" s="4">
        <f t="shared" ref="E140:G140" si="417">LN(B140/B139)</f>
        <v>-0.005719107262</v>
      </c>
      <c r="F140" s="4">
        <f t="shared" si="417"/>
        <v>-0.04003917957</v>
      </c>
      <c r="G140" s="4">
        <f t="shared" si="417"/>
        <v>-0.02622942167</v>
      </c>
      <c r="H140" s="4">
        <f t="shared" si="2"/>
        <v>5739.6834</v>
      </c>
      <c r="I140" s="4">
        <f t="shared" si="6"/>
        <v>-0.02138812665</v>
      </c>
      <c r="J140" s="4">
        <f t="shared" si="7"/>
        <v>-0.02174310577</v>
      </c>
      <c r="K140" s="4">
        <f t="shared" si="8"/>
        <v>0.0000001260101756</v>
      </c>
      <c r="L140" s="9">
        <v>3469.83</v>
      </c>
      <c r="M140" s="4">
        <f t="shared" si="3"/>
        <v>11138.25084</v>
      </c>
      <c r="N140" s="4"/>
      <c r="O140" s="4"/>
      <c r="P140" s="4"/>
      <c r="Q140" s="4">
        <f t="shared" ref="Q140:S140" si="418">IF(E139=0,0,(E140-E139)/E139)</f>
        <v>-0.5870418535</v>
      </c>
      <c r="R140" s="4">
        <f t="shared" si="418"/>
        <v>3.546919949</v>
      </c>
      <c r="S140" s="4">
        <f t="shared" si="418"/>
        <v>0.7335162895</v>
      </c>
      <c r="T140" s="11">
        <v>3469.83</v>
      </c>
      <c r="U140" s="4"/>
      <c r="V140" s="4"/>
      <c r="W140" s="4"/>
      <c r="X140" s="4"/>
      <c r="Y140" s="4">
        <f t="shared" ref="Y140:Z140" si="419">(L140-L139)/L139</f>
        <v>-0.002371998344</v>
      </c>
      <c r="Z140" s="4">
        <f t="shared" si="419"/>
        <v>-0.02424793084</v>
      </c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</row>
    <row r="141" ht="14.25" customHeight="1">
      <c r="A141" s="12">
        <v>45414.0</v>
      </c>
      <c r="B141" s="13">
        <v>4177.0</v>
      </c>
      <c r="C141" s="13">
        <v>17.04</v>
      </c>
      <c r="D141" s="13">
        <v>13301.0</v>
      </c>
      <c r="E141" s="4">
        <f t="shared" ref="E141:G141" si="420">LN(B141/B140)</f>
        <v>0.00658134146</v>
      </c>
      <c r="F141" s="4">
        <f t="shared" si="420"/>
        <v>-0.01975659844</v>
      </c>
      <c r="G141" s="4">
        <f t="shared" si="420"/>
        <v>0.005654631119</v>
      </c>
      <c r="H141" s="4">
        <f t="shared" si="2"/>
        <v>5773.3632</v>
      </c>
      <c r="I141" s="4">
        <f t="shared" si="6"/>
        <v>0.005850735647</v>
      </c>
      <c r="J141" s="4">
        <f t="shared" si="7"/>
        <v>0.005725922328</v>
      </c>
      <c r="K141" s="4">
        <f t="shared" si="8"/>
        <v>0.0000000155783646</v>
      </c>
      <c r="L141" s="14">
        <v>3442.83</v>
      </c>
      <c r="M141" s="4">
        <f t="shared" si="3"/>
        <v>11202.26974</v>
      </c>
      <c r="N141" s="4"/>
      <c r="O141" s="4"/>
      <c r="P141" s="4"/>
      <c r="Q141" s="4">
        <f t="shared" ref="Q141:S141" si="421">IF(E140=0,0,(E141-E140)/E140)</f>
        <v>-2.150763775</v>
      </c>
      <c r="R141" s="4">
        <f t="shared" si="421"/>
        <v>-0.5065683501</v>
      </c>
      <c r="S141" s="4">
        <f t="shared" si="421"/>
        <v>-1.215583523</v>
      </c>
      <c r="T141" s="15">
        <v>3442.83</v>
      </c>
      <c r="U141" s="4"/>
      <c r="V141" s="4"/>
      <c r="W141" s="4"/>
      <c r="X141" s="4"/>
      <c r="Y141" s="4">
        <f t="shared" ref="Y141:Z141" si="422">(L141-L140)/L140</f>
        <v>-0.007781361047</v>
      </c>
      <c r="Z141" s="4">
        <f t="shared" si="422"/>
        <v>0.005747661439</v>
      </c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</row>
    <row r="142" ht="14.25" customHeight="1">
      <c r="A142" s="7">
        <v>45415.0</v>
      </c>
      <c r="B142" s="8">
        <v>4236.4</v>
      </c>
      <c r="C142" s="8">
        <v>16.65</v>
      </c>
      <c r="D142" s="8">
        <v>13202.5</v>
      </c>
      <c r="E142" s="4">
        <f t="shared" ref="E142:G142" si="423">LN(B142/B141)</f>
        <v>0.01412056647</v>
      </c>
      <c r="F142" s="4">
        <f t="shared" si="423"/>
        <v>-0.02315330497</v>
      </c>
      <c r="G142" s="4">
        <f t="shared" si="423"/>
        <v>-0.007433014772</v>
      </c>
      <c r="H142" s="4">
        <f t="shared" si="2"/>
        <v>5760.3315</v>
      </c>
      <c r="I142" s="4">
        <f t="shared" si="6"/>
        <v>-0.002259762528</v>
      </c>
      <c r="J142" s="4">
        <f t="shared" si="7"/>
        <v>-0.002724905122</v>
      </c>
      <c r="K142" s="4">
        <f t="shared" si="8"/>
        <v>0.000000216357633</v>
      </c>
      <c r="L142" s="9">
        <v>3441.77</v>
      </c>
      <c r="M142" s="4">
        <f t="shared" si="3"/>
        <v>11139.39172</v>
      </c>
      <c r="N142" s="4"/>
      <c r="O142" s="4"/>
      <c r="P142" s="4"/>
      <c r="Q142" s="4">
        <f t="shared" ref="Q142:S142" si="424">IF(E141=0,0,(E142-E141)/E141)</f>
        <v>1.145545336</v>
      </c>
      <c r="R142" s="4">
        <f t="shared" si="424"/>
        <v>0.1719277005</v>
      </c>
      <c r="S142" s="4">
        <f t="shared" si="424"/>
        <v>-2.314500383</v>
      </c>
      <c r="T142" s="11">
        <v>3441.77</v>
      </c>
      <c r="U142" s="4"/>
      <c r="V142" s="4"/>
      <c r="W142" s="4"/>
      <c r="X142" s="4"/>
      <c r="Y142" s="4">
        <f t="shared" ref="Y142:Z142" si="425">(L142-L141)/L141</f>
        <v>-0.0003078862447</v>
      </c>
      <c r="Z142" s="4">
        <f t="shared" si="425"/>
        <v>-0.00561297139</v>
      </c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</row>
    <row r="143" ht="14.25" customHeight="1">
      <c r="A143" s="12">
        <v>45418.0</v>
      </c>
      <c r="B143" s="13">
        <v>4274.0</v>
      </c>
      <c r="C143" s="13">
        <v>16.9</v>
      </c>
      <c r="D143" s="13">
        <v>13635.0</v>
      </c>
      <c r="E143" s="4">
        <f t="shared" ref="E143:G143" si="426">LN(B143/B142)</f>
        <v>0.00883630491</v>
      </c>
      <c r="F143" s="4">
        <f t="shared" si="426"/>
        <v>0.0149034055</v>
      </c>
      <c r="G143" s="4">
        <f t="shared" si="426"/>
        <v>0.0322338107</v>
      </c>
      <c r="H143" s="4">
        <f t="shared" si="2"/>
        <v>5915.547</v>
      </c>
      <c r="I143" s="4">
        <f t="shared" si="6"/>
        <v>0.02658894477</v>
      </c>
      <c r="J143" s="4">
        <f t="shared" si="7"/>
        <v>0.02694056691</v>
      </c>
      <c r="K143" s="4">
        <f t="shared" si="8"/>
        <v>0.0000001236381246</v>
      </c>
      <c r="L143" s="14">
        <v>3436.05</v>
      </c>
      <c r="M143" s="4">
        <f t="shared" si="3"/>
        <v>11481.81215</v>
      </c>
      <c r="N143" s="4"/>
      <c r="O143" s="4"/>
      <c r="P143" s="4"/>
      <c r="Q143" s="4">
        <f t="shared" ref="Q143:S143" si="427">IF(E142=0,0,(E143-E142)/E142)</f>
        <v>-0.3742244741</v>
      </c>
      <c r="R143" s="4">
        <f t="shared" si="427"/>
        <v>-1.643683721</v>
      </c>
      <c r="S143" s="4">
        <f t="shared" si="427"/>
        <v>-5.336572937</v>
      </c>
      <c r="T143" s="15">
        <v>3436.05</v>
      </c>
      <c r="U143" s="4"/>
      <c r="V143" s="4"/>
      <c r="W143" s="4"/>
      <c r="X143" s="4"/>
      <c r="Y143" s="4">
        <f t="shared" ref="Y143:Z143" si="428">(L143-L142)/L142</f>
        <v>-0.001661935574</v>
      </c>
      <c r="Z143" s="4">
        <f t="shared" si="428"/>
        <v>0.03073959901</v>
      </c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</row>
    <row r="144" ht="14.25" customHeight="1">
      <c r="A144" s="7">
        <v>45419.0</v>
      </c>
      <c r="B144" s="8">
        <v>4356.0</v>
      </c>
      <c r="C144" s="8">
        <v>17.27</v>
      </c>
      <c r="D144" s="8">
        <v>13515.0</v>
      </c>
      <c r="E144" s="4">
        <f t="shared" ref="E144:G144" si="429">LN(B144/B143)</f>
        <v>0.01900404817</v>
      </c>
      <c r="F144" s="4">
        <f t="shared" si="429"/>
        <v>0.02165727023</v>
      </c>
      <c r="G144" s="4">
        <f t="shared" si="429"/>
        <v>-0.008839836569</v>
      </c>
      <c r="H144" s="4">
        <f t="shared" si="2"/>
        <v>5903.1291</v>
      </c>
      <c r="I144" s="4">
        <f t="shared" si="6"/>
        <v>-0.002101403654</v>
      </c>
      <c r="J144" s="4">
        <f t="shared" si="7"/>
        <v>-0.002488339166</v>
      </c>
      <c r="K144" s="4">
        <f t="shared" si="8"/>
        <v>0.0000001497190909</v>
      </c>
      <c r="L144" s="9">
        <v>3427.61</v>
      </c>
      <c r="M144" s="4">
        <f t="shared" si="3"/>
        <v>11407.35577</v>
      </c>
      <c r="N144" s="4"/>
      <c r="O144" s="4"/>
      <c r="P144" s="4"/>
      <c r="Q144" s="4">
        <f t="shared" ref="Q144:S144" si="430">IF(E143=0,0,(E144-E143)/E143)</f>
        <v>1.150678181</v>
      </c>
      <c r="R144" s="4">
        <f t="shared" si="430"/>
        <v>0.4531759352</v>
      </c>
      <c r="S144" s="4">
        <f t="shared" si="430"/>
        <v>-1.274241127</v>
      </c>
      <c r="T144" s="11">
        <v>3427.61</v>
      </c>
      <c r="U144" s="4"/>
      <c r="V144" s="4"/>
      <c r="W144" s="4"/>
      <c r="X144" s="4"/>
      <c r="Y144" s="4">
        <f t="shared" ref="Y144:Z144" si="431">(L144-L143)/L143</f>
        <v>-0.002456308843</v>
      </c>
      <c r="Z144" s="4">
        <f t="shared" si="431"/>
        <v>-0.006484724512</v>
      </c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</row>
    <row r="145" ht="14.25" customHeight="1">
      <c r="A145" s="12">
        <v>45420.0</v>
      </c>
      <c r="B145" s="13">
        <v>4310.0</v>
      </c>
      <c r="C145" s="13">
        <v>17.21</v>
      </c>
      <c r="D145" s="13">
        <v>13489.0</v>
      </c>
      <c r="E145" s="4">
        <f t="shared" ref="E145:G145" si="432">LN(B145/B144)</f>
        <v>-0.01061630096</v>
      </c>
      <c r="F145" s="4">
        <f t="shared" si="432"/>
        <v>-0.003480281935</v>
      </c>
      <c r="G145" s="4">
        <f t="shared" si="432"/>
        <v>-0.001925641241</v>
      </c>
      <c r="H145" s="4">
        <f t="shared" si="2"/>
        <v>5879.3493</v>
      </c>
      <c r="I145" s="4">
        <f t="shared" si="6"/>
        <v>-0.004036473733</v>
      </c>
      <c r="J145" s="4">
        <f t="shared" si="7"/>
        <v>-0.003865853842</v>
      </c>
      <c r="K145" s="4">
        <f t="shared" si="8"/>
        <v>0.00000002911114717</v>
      </c>
      <c r="L145" s="14">
        <v>3432.54</v>
      </c>
      <c r="M145" s="4">
        <f t="shared" si="3"/>
        <v>11377.0472</v>
      </c>
      <c r="N145" s="4"/>
      <c r="O145" s="4"/>
      <c r="P145" s="4"/>
      <c r="Q145" s="4">
        <f t="shared" ref="Q145:S145" si="433">IF(E144=0,0,(E145-E144)/E144)</f>
        <v>-1.558633658</v>
      </c>
      <c r="R145" s="4">
        <f t="shared" si="433"/>
        <v>-1.160698089</v>
      </c>
      <c r="S145" s="4">
        <f t="shared" si="433"/>
        <v>-0.7821632532</v>
      </c>
      <c r="T145" s="15">
        <v>3432.54</v>
      </c>
      <c r="U145" s="4"/>
      <c r="V145" s="4"/>
      <c r="W145" s="4"/>
      <c r="X145" s="4"/>
      <c r="Y145" s="4">
        <f t="shared" ref="Y145:Z145" si="434">(L145-L144)/L144</f>
        <v>0.001438319996</v>
      </c>
      <c r="Z145" s="4">
        <f t="shared" si="434"/>
        <v>-0.00265693134</v>
      </c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</row>
    <row r="146" ht="14.25" customHeight="1">
      <c r="A146" s="7">
        <v>45422.0</v>
      </c>
      <c r="B146" s="8">
        <v>4356.2</v>
      </c>
      <c r="C146" s="8">
        <v>17.75</v>
      </c>
      <c r="D146" s="8">
        <v>13910.0</v>
      </c>
      <c r="E146" s="4">
        <f t="shared" ref="E146:G146" si="435">LN(B146/B145)</f>
        <v>0.01066221358</v>
      </c>
      <c r="F146" s="4">
        <f t="shared" si="435"/>
        <v>0.0308949057</v>
      </c>
      <c r="G146" s="4">
        <f t="shared" si="435"/>
        <v>0.03073346745</v>
      </c>
      <c r="H146" s="4">
        <f t="shared" si="2"/>
        <v>6033.7035</v>
      </c>
      <c r="I146" s="4">
        <f t="shared" si="6"/>
        <v>0.02591490879</v>
      </c>
      <c r="J146" s="4">
        <f t="shared" si="7"/>
        <v>0.02627239849</v>
      </c>
      <c r="K146" s="4">
        <f t="shared" si="8"/>
        <v>0.0000001277988878</v>
      </c>
      <c r="L146" s="9">
        <v>3449.78</v>
      </c>
      <c r="M146" s="4">
        <f t="shared" si="3"/>
        <v>11712.49846</v>
      </c>
      <c r="N146" s="4"/>
      <c r="O146" s="4"/>
      <c r="P146" s="4"/>
      <c r="Q146" s="4">
        <f t="shared" ref="Q146:S146" si="436">IF(E145=0,0,(E146-E145)/E145)</f>
        <v>-2.004324729</v>
      </c>
      <c r="R146" s="4">
        <f t="shared" si="436"/>
        <v>-9.877127277</v>
      </c>
      <c r="S146" s="4">
        <f t="shared" si="436"/>
        <v>-16.96012113</v>
      </c>
      <c r="T146" s="11">
        <v>3449.78</v>
      </c>
      <c r="U146" s="4"/>
      <c r="V146" s="4"/>
      <c r="W146" s="4"/>
      <c r="X146" s="4"/>
      <c r="Y146" s="4">
        <f t="shared" ref="Y146:Z146" si="437">(L146-L145)/L145</f>
        <v>0.005022519767</v>
      </c>
      <c r="Z146" s="4">
        <f t="shared" si="437"/>
        <v>0.02948491378</v>
      </c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</row>
    <row r="147" ht="14.25" customHeight="1">
      <c r="A147" s="12">
        <v>45425.0</v>
      </c>
      <c r="B147" s="13">
        <v>4407.0</v>
      </c>
      <c r="C147" s="13">
        <v>17.7</v>
      </c>
      <c r="D147" s="13">
        <v>13950.0</v>
      </c>
      <c r="E147" s="4">
        <f t="shared" ref="E147:G147" si="438">LN(B147/B146)</f>
        <v>0.01159406816</v>
      </c>
      <c r="F147" s="4">
        <f t="shared" si="438"/>
        <v>-0.002820876342</v>
      </c>
      <c r="G147" s="4">
        <f t="shared" si="438"/>
        <v>0.002871502332</v>
      </c>
      <c r="H147" s="4">
        <f t="shared" si="2"/>
        <v>6063.651</v>
      </c>
      <c r="I147" s="4">
        <f t="shared" si="6"/>
        <v>0.004951092601</v>
      </c>
      <c r="J147" s="4">
        <f t="shared" si="7"/>
        <v>0.004780386928</v>
      </c>
      <c r="K147" s="4">
        <f t="shared" si="8"/>
        <v>0.00000002914042675</v>
      </c>
      <c r="L147" s="14">
        <v>3457.11</v>
      </c>
      <c r="M147" s="4">
        <f t="shared" si="3"/>
        <v>11754.68702</v>
      </c>
      <c r="N147" s="4"/>
      <c r="O147" s="4"/>
      <c r="P147" s="4"/>
      <c r="Q147" s="4">
        <f t="shared" ref="Q147:S147" si="439">IF(E146=0,0,(E147-E146)/E146)</f>
        <v>0.0873978532</v>
      </c>
      <c r="R147" s="4">
        <f t="shared" si="439"/>
        <v>-1.09130555</v>
      </c>
      <c r="S147" s="4">
        <f t="shared" si="439"/>
        <v>-0.906567577</v>
      </c>
      <c r="T147" s="15">
        <v>3457.11</v>
      </c>
      <c r="U147" s="4"/>
      <c r="V147" s="4"/>
      <c r="W147" s="4"/>
      <c r="X147" s="4"/>
      <c r="Y147" s="4">
        <f t="shared" ref="Y147:Z147" si="440">(L147-L146)/L146</f>
        <v>0.002124773174</v>
      </c>
      <c r="Z147" s="4">
        <f t="shared" si="440"/>
        <v>0.003602011685</v>
      </c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</row>
    <row r="148" ht="14.25" customHeight="1">
      <c r="A148" s="7">
        <v>45426.0</v>
      </c>
      <c r="B148" s="8">
        <v>4489.8</v>
      </c>
      <c r="C148" s="8">
        <v>17.73</v>
      </c>
      <c r="D148" s="8">
        <v>13905.0</v>
      </c>
      <c r="E148" s="4">
        <f t="shared" ref="E148:G148" si="441">LN(B148/B147)</f>
        <v>0.01861397147</v>
      </c>
      <c r="F148" s="4">
        <f t="shared" si="441"/>
        <v>0.001693480506</v>
      </c>
      <c r="G148" s="4">
        <f t="shared" si="441"/>
        <v>-0.003231020581</v>
      </c>
      <c r="H148" s="4">
        <f t="shared" si="2"/>
        <v>6076.1349</v>
      </c>
      <c r="I148" s="4">
        <f t="shared" si="6"/>
        <v>0.00205669268</v>
      </c>
      <c r="J148" s="4">
        <f t="shared" si="7"/>
        <v>0.001651321559</v>
      </c>
      <c r="K148" s="4">
        <f t="shared" si="8"/>
        <v>0.0000001643257459</v>
      </c>
      <c r="L148" s="9">
        <v>3463.93</v>
      </c>
      <c r="M148" s="4">
        <f t="shared" si="3"/>
        <v>11738.33623</v>
      </c>
      <c r="N148" s="4"/>
      <c r="O148" s="4"/>
      <c r="P148" s="4"/>
      <c r="Q148" s="4">
        <f t="shared" ref="Q148:S148" si="442">IF(E147=0,0,(E148-E147)/E147)</f>
        <v>0.6054736969</v>
      </c>
      <c r="R148" s="4">
        <f t="shared" si="442"/>
        <v>-1.600338441</v>
      </c>
      <c r="S148" s="4">
        <f t="shared" si="442"/>
        <v>-2.125202144</v>
      </c>
      <c r="T148" s="11">
        <v>3463.93</v>
      </c>
      <c r="U148" s="4"/>
      <c r="V148" s="4"/>
      <c r="W148" s="4"/>
      <c r="X148" s="4"/>
      <c r="Y148" s="4">
        <f t="shared" ref="Y148:Z148" si="443">(L148-L147)/L147</f>
        <v>0.001972746022</v>
      </c>
      <c r="Z148" s="4">
        <f t="shared" si="443"/>
        <v>-0.001391001445</v>
      </c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</row>
    <row r="149" ht="14.25" customHeight="1">
      <c r="A149" s="12">
        <v>45427.0</v>
      </c>
      <c r="B149" s="13">
        <v>4355.2</v>
      </c>
      <c r="C149" s="13">
        <v>17.28</v>
      </c>
      <c r="D149" s="13">
        <v>14335.0</v>
      </c>
      <c r="E149" s="4">
        <f t="shared" ref="E149:G149" si="444">LN(B149/B148)</f>
        <v>-0.03043762386</v>
      </c>
      <c r="F149" s="4">
        <f t="shared" si="444"/>
        <v>-0.02570835671</v>
      </c>
      <c r="G149" s="4">
        <f t="shared" si="444"/>
        <v>0.03045561165</v>
      </c>
      <c r="H149" s="4">
        <f t="shared" si="2"/>
        <v>6173.4684</v>
      </c>
      <c r="I149" s="4">
        <f t="shared" si="6"/>
        <v>0.01589203277</v>
      </c>
      <c r="J149" s="4">
        <f t="shared" si="7"/>
        <v>0.01662102775</v>
      </c>
      <c r="K149" s="4">
        <f t="shared" si="8"/>
        <v>0.0000005314336898</v>
      </c>
      <c r="L149" s="14">
        <v>3470.72</v>
      </c>
      <c r="M149" s="4">
        <f t="shared" si="3"/>
        <v>12040.54118</v>
      </c>
      <c r="N149" s="4"/>
      <c r="O149" s="4"/>
      <c r="P149" s="4"/>
      <c r="Q149" s="4">
        <f t="shared" ref="Q149:S149" si="445">IF(E148=0,0,(E149-E148)/E148)</f>
        <v>-2.6352031</v>
      </c>
      <c r="R149" s="4">
        <f t="shared" si="445"/>
        <v>-16.18078101</v>
      </c>
      <c r="S149" s="4">
        <f t="shared" si="445"/>
        <v>-10.42600361</v>
      </c>
      <c r="T149" s="15">
        <v>3470.72</v>
      </c>
      <c r="U149" s="4"/>
      <c r="V149" s="4"/>
      <c r="W149" s="4"/>
      <c r="X149" s="4"/>
      <c r="Y149" s="4">
        <f t="shared" ref="Y149:Z149" si="446">(L149-L148)/L148</f>
        <v>0.001960201274</v>
      </c>
      <c r="Z149" s="4">
        <f t="shared" si="446"/>
        <v>0.02574512624</v>
      </c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</row>
    <row r="150" ht="14.25" customHeight="1">
      <c r="A150" s="7">
        <v>45428.0</v>
      </c>
      <c r="B150" s="8">
        <v>4361.2</v>
      </c>
      <c r="C150" s="8">
        <v>17.44</v>
      </c>
      <c r="D150" s="8">
        <v>14170.0</v>
      </c>
      <c r="E150" s="4">
        <f t="shared" ref="E150:G150" si="447">LN(B150/B149)</f>
        <v>0.001376715375</v>
      </c>
      <c r="F150" s="4">
        <f t="shared" si="447"/>
        <v>0.009216655105</v>
      </c>
      <c r="G150" s="4">
        <f t="shared" si="447"/>
        <v>-0.01157704563</v>
      </c>
      <c r="H150" s="4">
        <f t="shared" si="2"/>
        <v>6121.0512</v>
      </c>
      <c r="I150" s="4">
        <f t="shared" si="6"/>
        <v>-0.00852697288</v>
      </c>
      <c r="J150" s="4">
        <f t="shared" si="7"/>
        <v>-0.008587129545</v>
      </c>
      <c r="K150" s="4">
        <f t="shared" si="8"/>
        <v>0.000000003618824342</v>
      </c>
      <c r="L150" s="9">
        <v>3486.26</v>
      </c>
      <c r="M150" s="4">
        <f t="shared" si="3"/>
        <v>11914.43082</v>
      </c>
      <c r="N150" s="4"/>
      <c r="O150" s="4"/>
      <c r="P150" s="4"/>
      <c r="Q150" s="4">
        <f t="shared" ref="Q150:S150" si="448">IF(E149=0,0,(E150-E149)/E149)</f>
        <v>-1.045230711</v>
      </c>
      <c r="R150" s="4">
        <f t="shared" si="448"/>
        <v>-1.358508138</v>
      </c>
      <c r="S150" s="4">
        <f t="shared" si="448"/>
        <v>-1.380128489</v>
      </c>
      <c r="T150" s="11">
        <v>3486.26</v>
      </c>
      <c r="U150" s="4"/>
      <c r="V150" s="4"/>
      <c r="W150" s="4"/>
      <c r="X150" s="4"/>
      <c r="Y150" s="4">
        <f t="shared" ref="Y150:Z150" si="449">(L150-L149)/L149</f>
        <v>0.004477457127</v>
      </c>
      <c r="Z150" s="4">
        <f t="shared" si="449"/>
        <v>-0.0104738117</v>
      </c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</row>
    <row r="151" ht="14.25" customHeight="1">
      <c r="A151" s="12">
        <v>45429.0</v>
      </c>
      <c r="B151" s="13">
        <v>4271.0</v>
      </c>
      <c r="C151" s="13">
        <v>17.59</v>
      </c>
      <c r="D151" s="13">
        <v>14355.5</v>
      </c>
      <c r="E151" s="4">
        <f t="shared" ref="E151:G151" si="450">LN(B151/B150)</f>
        <v>-0.02089925699</v>
      </c>
      <c r="F151" s="4">
        <f t="shared" si="450"/>
        <v>0.008564140269</v>
      </c>
      <c r="G151" s="4">
        <f t="shared" si="450"/>
        <v>0.01300609033</v>
      </c>
      <c r="H151" s="4">
        <f t="shared" si="2"/>
        <v>6152.5497</v>
      </c>
      <c r="I151" s="4">
        <f t="shared" si="6"/>
        <v>0.005132734787</v>
      </c>
      <c r="J151" s="4">
        <f t="shared" si="7"/>
        <v>0.005445238378</v>
      </c>
      <c r="K151" s="4">
        <f t="shared" si="8"/>
        <v>0.00000009765849391</v>
      </c>
      <c r="L151" s="14">
        <v>3501.89</v>
      </c>
      <c r="M151" s="4">
        <f t="shared" si="3"/>
        <v>12037.65888</v>
      </c>
      <c r="N151" s="4"/>
      <c r="O151" s="4"/>
      <c r="P151" s="4"/>
      <c r="Q151" s="4">
        <f t="shared" ref="Q151:S151" si="451">IF(E150=0,0,(E151-E150)/E150)</f>
        <v>-16.18052124</v>
      </c>
      <c r="R151" s="4">
        <f t="shared" si="451"/>
        <v>-0.07079735857</v>
      </c>
      <c r="S151" s="4">
        <f t="shared" si="451"/>
        <v>-2.12343777</v>
      </c>
      <c r="T151" s="15">
        <v>3501.89</v>
      </c>
      <c r="U151" s="4"/>
      <c r="V151" s="4"/>
      <c r="W151" s="4"/>
      <c r="X151" s="4"/>
      <c r="Y151" s="4">
        <f t="shared" ref="Y151:Z151" si="452">(L151-L150)/L150</f>
        <v>0.004483314497</v>
      </c>
      <c r="Z151" s="4">
        <f t="shared" si="452"/>
        <v>0.01034275741</v>
      </c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</row>
    <row r="152" ht="14.25" customHeight="1">
      <c r="A152" s="7">
        <v>45432.0</v>
      </c>
      <c r="B152" s="8">
        <v>4196.0</v>
      </c>
      <c r="C152" s="8">
        <v>17.42</v>
      </c>
      <c r="D152" s="8">
        <v>14498.0</v>
      </c>
      <c r="E152" s="4">
        <f t="shared" ref="E152:G152" si="453">LN(B152/B151)</f>
        <v>-0.01771630133</v>
      </c>
      <c r="F152" s="4">
        <f t="shared" si="453"/>
        <v>-0.009711587325</v>
      </c>
      <c r="G152" s="4">
        <f t="shared" si="453"/>
        <v>0.009877564843</v>
      </c>
      <c r="H152" s="4">
        <f t="shared" si="2"/>
        <v>6174.7686</v>
      </c>
      <c r="I152" s="4">
        <f t="shared" si="6"/>
        <v>0.00360482686</v>
      </c>
      <c r="J152" s="4">
        <f t="shared" si="7"/>
        <v>0.003639477351</v>
      </c>
      <c r="K152" s="4">
        <f t="shared" si="8"/>
        <v>0.000000001200656496</v>
      </c>
      <c r="L152" s="9">
        <v>3468.09</v>
      </c>
      <c r="M152" s="4">
        <f t="shared" si="3"/>
        <v>12131.05133</v>
      </c>
      <c r="N152" s="4"/>
      <c r="O152" s="4"/>
      <c r="P152" s="4"/>
      <c r="Q152" s="4">
        <f t="shared" ref="Q152:S152" si="454">IF(E151=0,0,(E152-E151)/E151)</f>
        <v>-0.1522999438</v>
      </c>
      <c r="R152" s="4">
        <f t="shared" si="454"/>
        <v>-2.133982749</v>
      </c>
      <c r="S152" s="4">
        <f t="shared" si="454"/>
        <v>-0.2405431156</v>
      </c>
      <c r="T152" s="11">
        <v>3468.09</v>
      </c>
      <c r="U152" s="4"/>
      <c r="V152" s="4"/>
      <c r="W152" s="4"/>
      <c r="X152" s="4"/>
      <c r="Y152" s="4">
        <f t="shared" ref="Y152:Z152" si="455">(L152-L151)/L151</f>
        <v>-0.009651930815</v>
      </c>
      <c r="Z152" s="4">
        <f t="shared" si="455"/>
        <v>0.007758356338</v>
      </c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</row>
    <row r="153" ht="14.25" customHeight="1">
      <c r="A153" s="12">
        <v>45433.0</v>
      </c>
      <c r="B153" s="13">
        <v>4106.4</v>
      </c>
      <c r="C153" s="13">
        <v>17.46</v>
      </c>
      <c r="D153" s="13">
        <v>14467.0</v>
      </c>
      <c r="E153" s="4">
        <f t="shared" ref="E153:G153" si="456">LN(B153/B152)</f>
        <v>-0.02158495827</v>
      </c>
      <c r="F153" s="4">
        <f t="shared" si="456"/>
        <v>0.002293578987</v>
      </c>
      <c r="G153" s="4">
        <f t="shared" si="456"/>
        <v>-0.002140515231</v>
      </c>
      <c r="H153" s="4">
        <f t="shared" si="2"/>
        <v>6134.9838</v>
      </c>
      <c r="I153" s="4">
        <f t="shared" si="6"/>
        <v>-0.006463970555</v>
      </c>
      <c r="J153" s="4">
        <f t="shared" si="7"/>
        <v>-0.006439589525</v>
      </c>
      <c r="K153" s="4">
        <f t="shared" si="8"/>
        <v>0.0000000005944346298</v>
      </c>
      <c r="L153" s="14">
        <v>3428.38</v>
      </c>
      <c r="M153" s="4">
        <f t="shared" si="3"/>
        <v>12087.18887</v>
      </c>
      <c r="N153" s="4"/>
      <c r="O153" s="4"/>
      <c r="P153" s="4"/>
      <c r="Q153" s="4">
        <f t="shared" ref="Q153:S153" si="457">IF(E152=0,0,(E153-E152)/E152)</f>
        <v>0.2183670775</v>
      </c>
      <c r="R153" s="4">
        <f t="shared" si="457"/>
        <v>-1.236169321</v>
      </c>
      <c r="S153" s="4">
        <f t="shared" si="457"/>
        <v>-1.216704751</v>
      </c>
      <c r="T153" s="15">
        <v>3428.38</v>
      </c>
      <c r="U153" s="4"/>
      <c r="V153" s="4"/>
      <c r="W153" s="4"/>
      <c r="X153" s="4"/>
      <c r="Y153" s="4">
        <f t="shared" ref="Y153:Z153" si="458">(L153-L152)/L152</f>
        <v>-0.01145010654</v>
      </c>
      <c r="Z153" s="4">
        <f t="shared" si="458"/>
        <v>-0.003615718481</v>
      </c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</row>
    <row r="154" ht="14.25" customHeight="1">
      <c r="A154" s="7">
        <v>45434.0</v>
      </c>
      <c r="B154" s="8">
        <v>4234.0</v>
      </c>
      <c r="C154" s="8">
        <v>17.02</v>
      </c>
      <c r="D154" s="8">
        <v>13915.5</v>
      </c>
      <c r="E154" s="4">
        <f t="shared" ref="E154:G154" si="459">LN(B154/B153)</f>
        <v>0.03060044045</v>
      </c>
      <c r="F154" s="4">
        <f t="shared" si="459"/>
        <v>-0.02552342727</v>
      </c>
      <c r="G154" s="4">
        <f t="shared" si="459"/>
        <v>-0.03886686687</v>
      </c>
      <c r="H154" s="4">
        <f t="shared" si="2"/>
        <v>5994.9516</v>
      </c>
      <c r="I154" s="4">
        <f t="shared" si="6"/>
        <v>-0.02308972252</v>
      </c>
      <c r="J154" s="4">
        <f t="shared" si="7"/>
        <v>-0.0233532482</v>
      </c>
      <c r="K154" s="4">
        <f t="shared" si="8"/>
        <v>0.00000006944578255</v>
      </c>
      <c r="L154" s="9">
        <v>3444.64</v>
      </c>
      <c r="M154" s="4">
        <f t="shared" si="3"/>
        <v>11689.57718</v>
      </c>
      <c r="N154" s="4"/>
      <c r="O154" s="4"/>
      <c r="P154" s="4"/>
      <c r="Q154" s="4">
        <f t="shared" ref="Q154:S154" si="460">IF(E153=0,0,(E154-E153)/E153)</f>
        <v>-2.417674293</v>
      </c>
      <c r="R154" s="4">
        <f t="shared" si="460"/>
        <v>-12.12820941</v>
      </c>
      <c r="S154" s="4">
        <f t="shared" si="460"/>
        <v>17.15771563</v>
      </c>
      <c r="T154" s="11">
        <v>3444.64</v>
      </c>
      <c r="U154" s="4"/>
      <c r="V154" s="4"/>
      <c r="W154" s="4"/>
      <c r="X154" s="4"/>
      <c r="Y154" s="4">
        <f t="shared" ref="Y154:Z154" si="461">(L154-L153)/L153</f>
        <v>0.004742764804</v>
      </c>
      <c r="Z154" s="4">
        <f t="shared" si="461"/>
        <v>-0.03289529847</v>
      </c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</row>
    <row r="155" ht="14.25" customHeight="1">
      <c r="A155" s="12">
        <v>45435.0</v>
      </c>
      <c r="B155" s="13">
        <v>4206.4</v>
      </c>
      <c r="C155" s="13">
        <v>17.07</v>
      </c>
      <c r="D155" s="13">
        <v>13938.5</v>
      </c>
      <c r="E155" s="4">
        <f t="shared" ref="E155:G155" si="462">LN(B155/B154)</f>
        <v>-0.006539997719</v>
      </c>
      <c r="F155" s="4">
        <f t="shared" si="462"/>
        <v>0.002933413661</v>
      </c>
      <c r="G155" s="4">
        <f t="shared" si="462"/>
        <v>0.001651468746</v>
      </c>
      <c r="H155" s="4">
        <f t="shared" si="2"/>
        <v>5993.4501</v>
      </c>
      <c r="I155" s="4">
        <f t="shared" si="6"/>
        <v>-0.0002504921082</v>
      </c>
      <c r="J155" s="4">
        <f t="shared" si="7"/>
        <v>-0.0001627326089</v>
      </c>
      <c r="K155" s="4">
        <f t="shared" si="8"/>
        <v>0.000000007701729708</v>
      </c>
      <c r="L155" s="14">
        <v>3442.79</v>
      </c>
      <c r="M155" s="4">
        <f t="shared" si="3"/>
        <v>11701.20691</v>
      </c>
      <c r="N155" s="4"/>
      <c r="O155" s="4"/>
      <c r="P155" s="4"/>
      <c r="Q155" s="4">
        <f t="shared" ref="Q155:S155" si="463">IF(E154=0,0,(E155-E154)/E154)</f>
        <v>-1.213722339</v>
      </c>
      <c r="R155" s="4">
        <f t="shared" si="463"/>
        <v>-1.114930242</v>
      </c>
      <c r="S155" s="4">
        <f t="shared" si="463"/>
        <v>-1.042490401</v>
      </c>
      <c r="T155" s="15">
        <v>3442.79</v>
      </c>
      <c r="U155" s="4"/>
      <c r="V155" s="4"/>
      <c r="W155" s="4"/>
      <c r="X155" s="4"/>
      <c r="Y155" s="4">
        <f t="shared" ref="Y155:Z155" si="464">(L155-L154)/L154</f>
        <v>-0.0005370662827</v>
      </c>
      <c r="Z155" s="4">
        <f t="shared" si="464"/>
        <v>0.0009948805956</v>
      </c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</row>
    <row r="156" ht="14.25" customHeight="1">
      <c r="A156" s="7">
        <v>45436.0</v>
      </c>
      <c r="B156" s="8">
        <v>4189.2</v>
      </c>
      <c r="C156" s="8">
        <v>17.21</v>
      </c>
      <c r="D156" s="8">
        <v>13770.0</v>
      </c>
      <c r="E156" s="4">
        <f t="shared" ref="E156:G156" si="465">LN(B156/B155)</f>
        <v>-0.004097390077</v>
      </c>
      <c r="F156" s="4">
        <f t="shared" si="465"/>
        <v>0.008168073417</v>
      </c>
      <c r="G156" s="4">
        <f t="shared" si="465"/>
        <v>-0.01216248278</v>
      </c>
      <c r="H156" s="4">
        <f t="shared" si="2"/>
        <v>5932.2153</v>
      </c>
      <c r="I156" s="4">
        <f t="shared" si="6"/>
        <v>-0.01026950465</v>
      </c>
      <c r="J156" s="4">
        <f t="shared" si="7"/>
        <v>-0.0102617938</v>
      </c>
      <c r="K156" s="4">
        <f t="shared" si="8"/>
        <v>0</v>
      </c>
      <c r="L156" s="9">
        <v>3396.5</v>
      </c>
      <c r="M156" s="4">
        <f t="shared" si="3"/>
        <v>11567.23561</v>
      </c>
      <c r="N156" s="4"/>
      <c r="O156" s="4"/>
      <c r="P156" s="4"/>
      <c r="Q156" s="4">
        <f t="shared" ref="Q156:S156" si="466">IF(E155=0,0,(E156-E155)/E155)</f>
        <v>-0.3734875374</v>
      </c>
      <c r="R156" s="4">
        <f t="shared" si="466"/>
        <v>1.784494231</v>
      </c>
      <c r="S156" s="4">
        <f t="shared" si="466"/>
        <v>-8.364646054</v>
      </c>
      <c r="T156" s="11">
        <v>3396.5</v>
      </c>
      <c r="U156" s="4"/>
      <c r="V156" s="4"/>
      <c r="W156" s="4"/>
      <c r="X156" s="4"/>
      <c r="Y156" s="4">
        <f t="shared" ref="Y156:Z156" si="467">(L156-L155)/L155</f>
        <v>-0.01344549043</v>
      </c>
      <c r="Z156" s="4">
        <f t="shared" si="467"/>
        <v>-0.01144935783</v>
      </c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</row>
    <row r="157" ht="14.25" customHeight="1">
      <c r="A157" s="12">
        <v>45439.0</v>
      </c>
      <c r="B157" s="13">
        <v>4084.0</v>
      </c>
      <c r="C157" s="13">
        <v>17.21</v>
      </c>
      <c r="D157" s="13">
        <v>13371.0</v>
      </c>
      <c r="E157" s="4">
        <f t="shared" ref="E157:G157" si="468">LN(B157/B156)</f>
        <v>-0.02543288461</v>
      </c>
      <c r="F157" s="4">
        <f t="shared" si="468"/>
        <v>0</v>
      </c>
      <c r="G157" s="4">
        <f t="shared" si="468"/>
        <v>-0.02940413011</v>
      </c>
      <c r="H157" s="4">
        <f t="shared" si="2"/>
        <v>5765.8293</v>
      </c>
      <c r="I157" s="4">
        <f t="shared" si="6"/>
        <v>-0.02844872409</v>
      </c>
      <c r="J157" s="4">
        <f t="shared" si="7"/>
        <v>-0.02836541617</v>
      </c>
      <c r="K157" s="4">
        <f t="shared" si="8"/>
        <v>0.000000006940210215</v>
      </c>
      <c r="L157" s="14">
        <v>3299.22</v>
      </c>
      <c r="M157" s="4">
        <f t="shared" si="3"/>
        <v>11235.66394</v>
      </c>
      <c r="N157" s="4"/>
      <c r="O157" s="4"/>
      <c r="P157" s="4"/>
      <c r="Q157" s="4">
        <f t="shared" ref="Q157:S157" si="469">IF(E156=0,0,(E157-E156)/E156)</f>
        <v>5.207093818</v>
      </c>
      <c r="R157" s="4">
        <f t="shared" si="469"/>
        <v>-1</v>
      </c>
      <c r="S157" s="4">
        <f t="shared" si="469"/>
        <v>1.417609186</v>
      </c>
      <c r="T157" s="15">
        <v>3299.22</v>
      </c>
      <c r="U157" s="4"/>
      <c r="V157" s="4"/>
      <c r="W157" s="4"/>
      <c r="X157" s="4"/>
      <c r="Y157" s="4">
        <f t="shared" ref="Y157:Z157" si="470">(L157-L156)/L156</f>
        <v>-0.02864124834</v>
      </c>
      <c r="Z157" s="4">
        <f t="shared" si="470"/>
        <v>-0.02866472882</v>
      </c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</row>
    <row r="158" ht="14.25" customHeight="1">
      <c r="A158" s="7">
        <v>45440.0</v>
      </c>
      <c r="B158" s="8">
        <v>4038.4</v>
      </c>
      <c r="C158" s="8">
        <v>17.1</v>
      </c>
      <c r="D158" s="8">
        <v>13085.0</v>
      </c>
      <c r="E158" s="4">
        <f t="shared" ref="E158:G158" si="471">LN(B158/B157)</f>
        <v>-0.01122832638</v>
      </c>
      <c r="F158" s="4">
        <f t="shared" si="471"/>
        <v>-0.006412146715</v>
      </c>
      <c r="G158" s="4">
        <f t="shared" si="471"/>
        <v>-0.02162164665</v>
      </c>
      <c r="H158" s="4">
        <f t="shared" si="2"/>
        <v>5656.365</v>
      </c>
      <c r="I158" s="4">
        <f t="shared" si="6"/>
        <v>-0.01916753445</v>
      </c>
      <c r="J158" s="4">
        <f t="shared" si="7"/>
        <v>-0.01923053265</v>
      </c>
      <c r="K158" s="4">
        <f t="shared" si="8"/>
        <v>0.000000003968773313</v>
      </c>
      <c r="L158" s="9">
        <v>3302.91</v>
      </c>
      <c r="M158" s="4">
        <f t="shared" si="3"/>
        <v>11004.62155</v>
      </c>
      <c r="N158" s="4"/>
      <c r="O158" s="4"/>
      <c r="P158" s="4"/>
      <c r="Q158" s="4">
        <f t="shared" ref="Q158:S158" si="472">IF(E157=0,0,(E158-E157)/E157)</f>
        <v>-0.5585114883</v>
      </c>
      <c r="R158" s="4">
        <f t="shared" si="472"/>
        <v>0</v>
      </c>
      <c r="S158" s="4">
        <f t="shared" si="472"/>
        <v>-0.2646731404</v>
      </c>
      <c r="T158" s="11">
        <v>3302.91</v>
      </c>
      <c r="U158" s="4"/>
      <c r="V158" s="4"/>
      <c r="W158" s="4"/>
      <c r="X158" s="4"/>
      <c r="Y158" s="4">
        <f t="shared" ref="Y158:Z158" si="473">(L158-L157)/L157</f>
        <v>0.001118446178</v>
      </c>
      <c r="Z158" s="4">
        <f t="shared" si="473"/>
        <v>-0.02056330491</v>
      </c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</row>
    <row r="159" ht="14.25" customHeight="1">
      <c r="A159" s="12">
        <v>45441.0</v>
      </c>
      <c r="B159" s="13">
        <v>4051.0</v>
      </c>
      <c r="C159" s="13">
        <v>17.0</v>
      </c>
      <c r="D159" s="13">
        <v>12809.0</v>
      </c>
      <c r="E159" s="4">
        <f t="shared" ref="E159:G159" si="474">LN(B159/B158)</f>
        <v>0.003115190296</v>
      </c>
      <c r="F159" s="4">
        <f t="shared" si="474"/>
        <v>-0.005865119452</v>
      </c>
      <c r="G159" s="4">
        <f t="shared" si="474"/>
        <v>-0.02131848713</v>
      </c>
      <c r="H159" s="4">
        <f t="shared" si="2"/>
        <v>5569.41</v>
      </c>
      <c r="I159" s="4">
        <f t="shared" si="6"/>
        <v>-0.01549233602</v>
      </c>
      <c r="J159" s="4">
        <f t="shared" si="7"/>
        <v>-0.01580484931</v>
      </c>
      <c r="K159" s="4">
        <f t="shared" si="8"/>
        <v>0.00000009766455945</v>
      </c>
      <c r="L159" s="14">
        <v>3318.03</v>
      </c>
      <c r="M159" s="4">
        <f t="shared" si="3"/>
        <v>10794.24127</v>
      </c>
      <c r="N159" s="4"/>
      <c r="O159" s="4"/>
      <c r="P159" s="4"/>
      <c r="Q159" s="4">
        <f t="shared" ref="Q159:S159" si="475">IF(E158=0,0,(E159-E158)/E158)</f>
        <v>-1.277440305</v>
      </c>
      <c r="R159" s="4">
        <f t="shared" si="475"/>
        <v>-0.08531109576</v>
      </c>
      <c r="S159" s="4">
        <f t="shared" si="475"/>
        <v>-0.01402111144</v>
      </c>
      <c r="T159" s="15">
        <v>3318.03</v>
      </c>
      <c r="U159" s="4"/>
      <c r="V159" s="4"/>
      <c r="W159" s="4"/>
      <c r="X159" s="4"/>
      <c r="Y159" s="4">
        <f t="shared" ref="Y159:Z159" si="476">(L159-L158)/L158</f>
        <v>0.004577781411</v>
      </c>
      <c r="Z159" s="4">
        <f t="shared" si="476"/>
        <v>-0.01911744817</v>
      </c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</row>
    <row r="160" ht="14.25" customHeight="1">
      <c r="A160" s="7">
        <v>45442.0</v>
      </c>
      <c r="B160" s="8">
        <v>4032.8</v>
      </c>
      <c r="C160" s="8">
        <v>17.01</v>
      </c>
      <c r="D160" s="8">
        <v>12560.0</v>
      </c>
      <c r="E160" s="4">
        <f t="shared" ref="E160:G160" si="477">LN(B160/B159)</f>
        <v>-0.004502840434</v>
      </c>
      <c r="F160" s="4">
        <f t="shared" si="477"/>
        <v>0.0005880623516</v>
      </c>
      <c r="G160" s="4">
        <f t="shared" si="477"/>
        <v>-0.01963088781</v>
      </c>
      <c r="H160" s="4">
        <f t="shared" si="2"/>
        <v>5481.2373</v>
      </c>
      <c r="I160" s="4">
        <f t="shared" si="6"/>
        <v>-0.01595826359</v>
      </c>
      <c r="J160" s="4">
        <f t="shared" si="7"/>
        <v>-0.01616066575</v>
      </c>
      <c r="K160" s="4">
        <f t="shared" si="8"/>
        <v>0.00000004096663416</v>
      </c>
      <c r="L160" s="9">
        <v>3282.18</v>
      </c>
      <c r="M160" s="4">
        <f t="shared" si="3"/>
        <v>10597.86924</v>
      </c>
      <c r="N160" s="4"/>
      <c r="O160" s="4"/>
      <c r="P160" s="4"/>
      <c r="Q160" s="4">
        <f t="shared" ref="Q160:S160" si="478">IF(E159=0,0,(E160-E159)/E159)</f>
        <v>-2.445446347</v>
      </c>
      <c r="R160" s="4">
        <f t="shared" si="478"/>
        <v>-1.100264344</v>
      </c>
      <c r="S160" s="4">
        <f t="shared" si="478"/>
        <v>-0.07916130791</v>
      </c>
      <c r="T160" s="11">
        <v>3282.18</v>
      </c>
      <c r="U160" s="4"/>
      <c r="V160" s="4"/>
      <c r="W160" s="4"/>
      <c r="X160" s="4"/>
      <c r="Y160" s="4">
        <f t="shared" ref="Y160:Z160" si="479">(L160-L159)/L159</f>
        <v>-0.01080460394</v>
      </c>
      <c r="Z160" s="4">
        <f t="shared" si="479"/>
        <v>-0.01819229556</v>
      </c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</row>
    <row r="161" ht="14.25" customHeight="1">
      <c r="A161" s="12">
        <v>45443.0</v>
      </c>
      <c r="B161" s="13">
        <v>3996.8</v>
      </c>
      <c r="C161" s="13">
        <v>16.92</v>
      </c>
      <c r="D161" s="13">
        <v>12280.0</v>
      </c>
      <c r="E161" s="4">
        <f t="shared" ref="E161:G161" si="480">LN(B161/B160)</f>
        <v>-0.008966882837</v>
      </c>
      <c r="F161" s="4">
        <f t="shared" si="480"/>
        <v>-0.00530505223</v>
      </c>
      <c r="G161" s="4">
        <f t="shared" si="480"/>
        <v>-0.02254523832</v>
      </c>
      <c r="H161" s="4">
        <f t="shared" si="2"/>
        <v>5376.9276</v>
      </c>
      <c r="I161" s="4">
        <f t="shared" si="6"/>
        <v>-0.01921372717</v>
      </c>
      <c r="J161" s="4">
        <f t="shared" si="7"/>
        <v>-0.01943531158</v>
      </c>
      <c r="K161" s="4">
        <f t="shared" si="8"/>
        <v>0.00000004909965316</v>
      </c>
      <c r="L161" s="14">
        <v>3217.19</v>
      </c>
      <c r="M161" s="4">
        <f t="shared" si="3"/>
        <v>10373.59545</v>
      </c>
      <c r="N161" s="4"/>
      <c r="O161" s="4"/>
      <c r="P161" s="4"/>
      <c r="Q161" s="4">
        <f t="shared" ref="Q161:S161" si="481">IF(E160=0,0,(E161-E160)/E160)</f>
        <v>0.991383654</v>
      </c>
      <c r="R161" s="4">
        <f t="shared" si="481"/>
        <v>-10.02124106</v>
      </c>
      <c r="S161" s="4">
        <f t="shared" si="481"/>
        <v>0.1484573974</v>
      </c>
      <c r="T161" s="15">
        <v>3217.19</v>
      </c>
      <c r="U161" s="4"/>
      <c r="V161" s="4"/>
      <c r="W161" s="4"/>
      <c r="X161" s="4"/>
      <c r="Y161" s="4">
        <f t="shared" ref="Y161:Z161" si="482">(L161-L160)/L160</f>
        <v>-0.01980086406</v>
      </c>
      <c r="Z161" s="4">
        <f t="shared" si="482"/>
        <v>-0.02116215879</v>
      </c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</row>
    <row r="162" ht="14.25" customHeight="1">
      <c r="A162" s="7">
        <v>45446.0</v>
      </c>
      <c r="B162" s="8">
        <v>4044.4</v>
      </c>
      <c r="C162" s="8">
        <v>17.05</v>
      </c>
      <c r="D162" s="8">
        <v>12556.5</v>
      </c>
      <c r="E162" s="4">
        <f t="shared" ref="E162:G162" si="483">LN(B162/B161)</f>
        <v>0.01183916729</v>
      </c>
      <c r="F162" s="4">
        <f t="shared" si="483"/>
        <v>0.007653849551</v>
      </c>
      <c r="G162" s="4">
        <f t="shared" si="483"/>
        <v>0.02226653707</v>
      </c>
      <c r="H162" s="4">
        <f t="shared" si="2"/>
        <v>5483.9235</v>
      </c>
      <c r="I162" s="4">
        <f t="shared" si="6"/>
        <v>0.01970367895</v>
      </c>
      <c r="J162" s="4">
        <f t="shared" si="7"/>
        <v>0.01987101778</v>
      </c>
      <c r="K162" s="4">
        <f t="shared" si="8"/>
        <v>0.00000002800228437</v>
      </c>
      <c r="L162" s="9">
        <v>3141.42</v>
      </c>
      <c r="M162" s="4">
        <f t="shared" si="3"/>
        <v>10597.74481</v>
      </c>
      <c r="N162" s="4"/>
      <c r="O162" s="4"/>
      <c r="P162" s="4"/>
      <c r="Q162" s="4">
        <f t="shared" ref="Q162:S162" si="484">IF(E161=0,0,(E162-E161)/E161)</f>
        <v>-2.320321398</v>
      </c>
      <c r="R162" s="4">
        <f t="shared" si="484"/>
        <v>-2.442747257</v>
      </c>
      <c r="S162" s="4">
        <f t="shared" si="484"/>
        <v>-1.987638132</v>
      </c>
      <c r="T162" s="11">
        <v>3141.42</v>
      </c>
      <c r="U162" s="4"/>
      <c r="V162" s="4"/>
      <c r="W162" s="4"/>
      <c r="X162" s="4"/>
      <c r="Y162" s="4">
        <f t="shared" ref="Y162:Z162" si="485">(L162-L161)/L161</f>
        <v>-0.0235516087</v>
      </c>
      <c r="Z162" s="4">
        <f t="shared" si="485"/>
        <v>0.02160768217</v>
      </c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</row>
    <row r="163" ht="14.25" customHeight="1">
      <c r="A163" s="12">
        <v>45447.0</v>
      </c>
      <c r="B163" s="13">
        <v>4177.8</v>
      </c>
      <c r="C163" s="13">
        <v>16.81</v>
      </c>
      <c r="D163" s="13">
        <v>12319.5</v>
      </c>
      <c r="E163" s="4">
        <f t="shared" ref="E163:G163" si="486">LN(B163/B162)</f>
        <v>0.03245158396</v>
      </c>
      <c r="F163" s="4">
        <f t="shared" si="486"/>
        <v>-0.01417625631</v>
      </c>
      <c r="G163" s="4">
        <f t="shared" si="486"/>
        <v>-0.01905508692</v>
      </c>
      <c r="H163" s="4">
        <f t="shared" si="2"/>
        <v>5449.6563</v>
      </c>
      <c r="I163" s="4">
        <f t="shared" si="6"/>
        <v>-0.006268269465</v>
      </c>
      <c r="J163" s="4">
        <f t="shared" si="7"/>
        <v>-0.007579069938</v>
      </c>
      <c r="K163" s="4">
        <f t="shared" si="8"/>
        <v>0.000001718197881</v>
      </c>
      <c r="L163" s="14">
        <v>3186.93</v>
      </c>
      <c r="M163" s="4">
        <f t="shared" si="3"/>
        <v>10444.3415</v>
      </c>
      <c r="N163" s="4"/>
      <c r="O163" s="4"/>
      <c r="P163" s="4"/>
      <c r="Q163" s="4">
        <f t="shared" ref="Q163:S163" si="487">IF(E162=0,0,(E163-E162)/E162)</f>
        <v>1.741036018</v>
      </c>
      <c r="R163" s="4">
        <f t="shared" si="487"/>
        <v>-2.852173369</v>
      </c>
      <c r="S163" s="4">
        <f t="shared" si="487"/>
        <v>-1.855772358</v>
      </c>
      <c r="T163" s="15">
        <v>3186.93</v>
      </c>
      <c r="U163" s="4"/>
      <c r="V163" s="4"/>
      <c r="W163" s="4"/>
      <c r="X163" s="4"/>
      <c r="Y163" s="4">
        <f t="shared" ref="Y163:Z163" si="488">(L163-L162)/L162</f>
        <v>0.01448707909</v>
      </c>
      <c r="Z163" s="4">
        <f t="shared" si="488"/>
        <v>-0.0144750891</v>
      </c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</row>
    <row r="164" ht="14.25" customHeight="1">
      <c r="A164" s="7">
        <v>45448.0</v>
      </c>
      <c r="B164" s="8">
        <v>4159.2</v>
      </c>
      <c r="C164" s="8">
        <v>16.75</v>
      </c>
      <c r="D164" s="8">
        <v>12460.0</v>
      </c>
      <c r="E164" s="4">
        <f t="shared" ref="E164:G164" si="489">LN(B164/B163)</f>
        <v>-0.004462044107</v>
      </c>
      <c r="F164" s="4">
        <f t="shared" si="489"/>
        <v>-0.003575689149</v>
      </c>
      <c r="G164" s="4">
        <f t="shared" si="489"/>
        <v>0.01134014049</v>
      </c>
      <c r="H164" s="4">
        <f t="shared" si="2"/>
        <v>5489.8635</v>
      </c>
      <c r="I164" s="4">
        <f t="shared" si="6"/>
        <v>0.007350849358</v>
      </c>
      <c r="J164" s="4">
        <f t="shared" si="7"/>
        <v>0.007748169944</v>
      </c>
      <c r="K164" s="4">
        <f t="shared" si="8"/>
        <v>0.0000001578636477</v>
      </c>
      <c r="L164" s="9">
        <v>3212.24</v>
      </c>
      <c r="M164" s="4">
        <f t="shared" si="3"/>
        <v>10548.72771</v>
      </c>
      <c r="N164" s="4"/>
      <c r="O164" s="4"/>
      <c r="P164" s="4"/>
      <c r="Q164" s="4">
        <f t="shared" ref="Q164:S164" si="490">IF(E163=0,0,(E164-E163)/E163)</f>
        <v>-1.1374985</v>
      </c>
      <c r="R164" s="4">
        <f t="shared" si="490"/>
        <v>-0.7477691521</v>
      </c>
      <c r="S164" s="4">
        <f t="shared" si="490"/>
        <v>-1.59512405</v>
      </c>
      <c r="T164" s="11">
        <v>3212.24</v>
      </c>
      <c r="U164" s="4"/>
      <c r="V164" s="4"/>
      <c r="W164" s="4"/>
      <c r="X164" s="4"/>
      <c r="Y164" s="4">
        <f t="shared" ref="Y164:Z164" si="491">(L164-L163)/L163</f>
        <v>0.00794181234</v>
      </c>
      <c r="Z164" s="4">
        <f t="shared" si="491"/>
        <v>0.009994522016</v>
      </c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</row>
    <row r="165" ht="14.25" customHeight="1">
      <c r="A165" s="12">
        <v>45449.0</v>
      </c>
      <c r="B165" s="13">
        <v>4204.2</v>
      </c>
      <c r="C165" s="13">
        <v>17.12</v>
      </c>
      <c r="D165" s="13">
        <v>12598.5</v>
      </c>
      <c r="E165" s="4">
        <f t="shared" ref="E165:G165" si="492">LN(B165/B164)</f>
        <v>0.01076127754</v>
      </c>
      <c r="F165" s="4">
        <f t="shared" si="492"/>
        <v>0.02184911244</v>
      </c>
      <c r="G165" s="4">
        <f t="shared" si="492"/>
        <v>0.01105424589</v>
      </c>
      <c r="H165" s="4">
        <f t="shared" si="2"/>
        <v>5550.5406</v>
      </c>
      <c r="I165" s="4">
        <f t="shared" si="6"/>
        <v>0.0109919366</v>
      </c>
      <c r="J165" s="4">
        <f t="shared" si="7"/>
        <v>0.01104634796</v>
      </c>
      <c r="K165" s="4">
        <f t="shared" si="8"/>
        <v>0.000000002960596205</v>
      </c>
      <c r="L165" s="14">
        <v>3192.38</v>
      </c>
      <c r="M165" s="4">
        <f t="shared" si="3"/>
        <v>10665.70995</v>
      </c>
      <c r="N165" s="4"/>
      <c r="O165" s="4"/>
      <c r="P165" s="4"/>
      <c r="Q165" s="4">
        <f t="shared" ref="Q165:S165" si="493">IF(E164=0,0,(E165-E164)/E164)</f>
        <v>-3.411737149</v>
      </c>
      <c r="R165" s="4">
        <f t="shared" si="493"/>
        <v>-7.110461936</v>
      </c>
      <c r="S165" s="4">
        <f t="shared" si="493"/>
        <v>-0.02521085175</v>
      </c>
      <c r="T165" s="15">
        <v>3192.38</v>
      </c>
      <c r="U165" s="4"/>
      <c r="V165" s="4"/>
      <c r="W165" s="4"/>
      <c r="X165" s="4"/>
      <c r="Y165" s="4">
        <f t="shared" ref="Y165:Z165" si="494">(L165-L164)/L164</f>
        <v>-0.006182601549</v>
      </c>
      <c r="Z165" s="4">
        <f t="shared" si="494"/>
        <v>0.01108970157</v>
      </c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</row>
    <row r="166" ht="14.25" customHeight="1">
      <c r="A166" s="7">
        <v>45450.0</v>
      </c>
      <c r="B166" s="8">
        <v>4222.0</v>
      </c>
      <c r="C166" s="8">
        <v>16.91</v>
      </c>
      <c r="D166" s="8">
        <v>12367.5</v>
      </c>
      <c r="E166" s="4">
        <f t="shared" ref="E166:G166" si="495">LN(B166/B165)</f>
        <v>0.004224923804</v>
      </c>
      <c r="F166" s="4">
        <f t="shared" si="495"/>
        <v>-0.0123422078</v>
      </c>
      <c r="G166" s="4">
        <f t="shared" si="495"/>
        <v>-0.01850569513</v>
      </c>
      <c r="H166" s="4">
        <f t="shared" si="2"/>
        <v>5480.1153</v>
      </c>
      <c r="I166" s="4">
        <f t="shared" si="6"/>
        <v>-0.01276918754</v>
      </c>
      <c r="J166" s="4">
        <f t="shared" si="7"/>
        <v>-0.01341990576</v>
      </c>
      <c r="K166" s="4">
        <f t="shared" si="8"/>
        <v>0.0000004234342058</v>
      </c>
      <c r="L166" s="9">
        <v>3233.22</v>
      </c>
      <c r="M166" s="4">
        <f t="shared" si="3"/>
        <v>10491.2428</v>
      </c>
      <c r="N166" s="4"/>
      <c r="O166" s="4"/>
      <c r="P166" s="4"/>
      <c r="Q166" s="4">
        <f t="shared" ref="Q166:S166" si="496">IF(E165=0,0,(E166-E165)/E165)</f>
        <v>-0.6073957028</v>
      </c>
      <c r="R166" s="4">
        <f t="shared" si="496"/>
        <v>-1.564883715</v>
      </c>
      <c r="S166" s="4">
        <f t="shared" si="496"/>
        <v>-2.674080287</v>
      </c>
      <c r="T166" s="11">
        <v>3233.22</v>
      </c>
      <c r="U166" s="4"/>
      <c r="V166" s="4"/>
      <c r="W166" s="4"/>
      <c r="X166" s="4"/>
      <c r="Y166" s="4">
        <f t="shared" ref="Y166:Z166" si="497">(L166-L165)/L165</f>
        <v>0.01279296324</v>
      </c>
      <c r="Z166" s="4">
        <f t="shared" si="497"/>
        <v>-0.01635776215</v>
      </c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</row>
    <row r="167" ht="14.25" customHeight="1">
      <c r="A167" s="12">
        <v>45453.0</v>
      </c>
      <c r="B167" s="13">
        <v>4125.6</v>
      </c>
      <c r="C167" s="13">
        <v>16.78</v>
      </c>
      <c r="D167" s="13">
        <v>12099.5</v>
      </c>
      <c r="E167" s="4">
        <f t="shared" ref="E167:G167" si="498">LN(B167/B166)</f>
        <v>-0.02309748567</v>
      </c>
      <c r="F167" s="4">
        <f t="shared" si="498"/>
        <v>-0.007717461871</v>
      </c>
      <c r="G167" s="4">
        <f t="shared" si="498"/>
        <v>-0.02190793468</v>
      </c>
      <c r="H167" s="4">
        <f t="shared" si="2"/>
        <v>5359.8204</v>
      </c>
      <c r="I167" s="4">
        <f t="shared" si="6"/>
        <v>-0.02219567383</v>
      </c>
      <c r="J167" s="4">
        <f t="shared" si="7"/>
        <v>-0.02209714456</v>
      </c>
      <c r="K167" s="4">
        <f t="shared" si="8"/>
        <v>0.000000009708016181</v>
      </c>
      <c r="L167" s="14">
        <v>3180.94</v>
      </c>
      <c r="M167" s="4">
        <f t="shared" si="3"/>
        <v>10262.81035</v>
      </c>
      <c r="N167" s="4"/>
      <c r="O167" s="4"/>
      <c r="P167" s="4"/>
      <c r="Q167" s="4">
        <f t="shared" ref="Q167:S167" si="499">IF(E166=0,0,(E167-E166)/E166)</f>
        <v>-6.466959109</v>
      </c>
      <c r="R167" s="4">
        <f t="shared" si="499"/>
        <v>-0.3747097768</v>
      </c>
      <c r="S167" s="4">
        <f t="shared" si="499"/>
        <v>0.1838482439</v>
      </c>
      <c r="T167" s="15">
        <v>3180.94</v>
      </c>
      <c r="U167" s="4"/>
      <c r="V167" s="4"/>
      <c r="W167" s="4"/>
      <c r="X167" s="4"/>
      <c r="Y167" s="4">
        <f t="shared" ref="Y167:Z167" si="500">(L167-L166)/L166</f>
        <v>-0.01616963894</v>
      </c>
      <c r="Z167" s="4">
        <f t="shared" si="500"/>
        <v>-0.02177363106</v>
      </c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</row>
    <row r="168" ht="14.25" customHeight="1">
      <c r="A168" s="7">
        <v>45454.0</v>
      </c>
      <c r="B168" s="8">
        <v>4102.0</v>
      </c>
      <c r="C168" s="8">
        <v>16.54</v>
      </c>
      <c r="D168" s="8">
        <v>12052.5</v>
      </c>
      <c r="E168" s="4">
        <f t="shared" ref="E168:G168" si="501">LN(B168/B167)</f>
        <v>-0.005736804104</v>
      </c>
      <c r="F168" s="4">
        <f t="shared" si="501"/>
        <v>-0.01440601144</v>
      </c>
      <c r="G168" s="4">
        <f t="shared" si="501"/>
        <v>-0.003892022137</v>
      </c>
      <c r="H168" s="4">
        <f t="shared" si="2"/>
        <v>5336.4432</v>
      </c>
      <c r="I168" s="4">
        <f t="shared" si="6"/>
        <v>-0.004371103424</v>
      </c>
      <c r="J168" s="4">
        <f t="shared" si="7"/>
        <v>-0.004357866061</v>
      </c>
      <c r="K168" s="4">
        <f t="shared" si="8"/>
        <v>0.000000000175227765</v>
      </c>
      <c r="L168" s="9">
        <v>3171.1</v>
      </c>
      <c r="M168" s="4">
        <f t="shared" si="3"/>
        <v>10221.26017</v>
      </c>
      <c r="N168" s="4"/>
      <c r="O168" s="4"/>
      <c r="P168" s="4"/>
      <c r="Q168" s="4">
        <f t="shared" ref="Q168:S168" si="502">IF(E167=0,0,(E168-E167)/E167)</f>
        <v>-0.7516264677</v>
      </c>
      <c r="R168" s="4">
        <f t="shared" si="502"/>
        <v>0.8666773719</v>
      </c>
      <c r="S168" s="4">
        <f t="shared" si="502"/>
        <v>-0.8223464606</v>
      </c>
      <c r="T168" s="11">
        <v>3171.1</v>
      </c>
      <c r="U168" s="4"/>
      <c r="V168" s="4"/>
      <c r="W168" s="4"/>
      <c r="X168" s="4"/>
      <c r="Y168" s="4">
        <f t="shared" ref="Y168:Z168" si="503">(L168-L167)/L167</f>
        <v>-0.003093425214</v>
      </c>
      <c r="Z168" s="4">
        <f t="shared" si="503"/>
        <v>-0.004048615932</v>
      </c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</row>
    <row r="169" ht="14.25" customHeight="1">
      <c r="A169" s="12">
        <v>45456.0</v>
      </c>
      <c r="B169" s="13">
        <v>4048.0</v>
      </c>
      <c r="C169" s="13">
        <v>16.25</v>
      </c>
      <c r="D169" s="13">
        <v>12029.5</v>
      </c>
      <c r="E169" s="4">
        <f t="shared" ref="E169:G169" si="504">LN(B169/B168)</f>
        <v>-0.01325172767</v>
      </c>
      <c r="F169" s="4">
        <f t="shared" si="504"/>
        <v>-0.01768878082</v>
      </c>
      <c r="G169" s="4">
        <f t="shared" si="504"/>
        <v>-0.001910140935</v>
      </c>
      <c r="H169" s="4">
        <f t="shared" si="2"/>
        <v>5310.9375</v>
      </c>
      <c r="I169" s="4">
        <f t="shared" si="6"/>
        <v>-0.004790990293</v>
      </c>
      <c r="J169" s="4">
        <f t="shared" si="7"/>
        <v>-0.004515075948</v>
      </c>
      <c r="K169" s="4">
        <f t="shared" si="8"/>
        <v>0.00000007612872547</v>
      </c>
      <c r="L169" s="14">
        <v>3171.69</v>
      </c>
      <c r="M169" s="4">
        <f t="shared" si="3"/>
        <v>10191.48914</v>
      </c>
      <c r="N169" s="4"/>
      <c r="O169" s="4"/>
      <c r="P169" s="4"/>
      <c r="Q169" s="4">
        <f t="shared" ref="Q169:S169" si="505">IF(E168=0,0,(E169-E168)/E168)</f>
        <v>1.309949481</v>
      </c>
      <c r="R169" s="4">
        <f t="shared" si="505"/>
        <v>0.2278749666</v>
      </c>
      <c r="S169" s="4">
        <f t="shared" si="505"/>
        <v>-0.5092163232</v>
      </c>
      <c r="T169" s="15">
        <v>3171.69</v>
      </c>
      <c r="U169" s="4"/>
      <c r="V169" s="4"/>
      <c r="W169" s="4"/>
      <c r="X169" s="4"/>
      <c r="Y169" s="4">
        <f t="shared" ref="Y169:Z169" si="506">(L169-L168)/L168</f>
        <v>0.000186055312</v>
      </c>
      <c r="Z169" s="4">
        <f t="shared" si="506"/>
        <v>-0.002912657673</v>
      </c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</row>
    <row r="170" ht="14.25" customHeight="1">
      <c r="A170" s="7">
        <v>45457.0</v>
      </c>
      <c r="B170" s="8">
        <v>4071.2</v>
      </c>
      <c r="C170" s="8">
        <v>15.82</v>
      </c>
      <c r="D170" s="8">
        <v>12331.5</v>
      </c>
      <c r="E170" s="4">
        <f t="shared" ref="E170:G170" si="507">LN(B170/B169)</f>
        <v>0.005714864307</v>
      </c>
      <c r="F170" s="4">
        <f t="shared" si="507"/>
        <v>-0.02681794644</v>
      </c>
      <c r="G170" s="4">
        <f t="shared" si="507"/>
        <v>0.02479499792</v>
      </c>
      <c r="H170" s="4">
        <f t="shared" si="2"/>
        <v>5418.1116</v>
      </c>
      <c r="I170" s="4">
        <f t="shared" si="6"/>
        <v>0.01997896812</v>
      </c>
      <c r="J170" s="4">
        <f t="shared" si="7"/>
        <v>0.02027977161</v>
      </c>
      <c r="K170" s="4">
        <f t="shared" si="8"/>
        <v>0.00000009048274405</v>
      </c>
      <c r="L170" s="9">
        <v>3215.91</v>
      </c>
      <c r="M170" s="4">
        <f t="shared" si="3"/>
        <v>10429.90735</v>
      </c>
      <c r="N170" s="4"/>
      <c r="O170" s="4"/>
      <c r="P170" s="4"/>
      <c r="Q170" s="4">
        <f t="shared" ref="Q170:S170" si="508">IF(E169=0,0,(E170-E169)/E169)</f>
        <v>-1.431254283</v>
      </c>
      <c r="R170" s="4">
        <f t="shared" si="508"/>
        <v>0.5160991992</v>
      </c>
      <c r="S170" s="4">
        <f t="shared" si="508"/>
        <v>-13.98071648</v>
      </c>
      <c r="T170" s="11">
        <v>3215.91</v>
      </c>
      <c r="U170" s="4"/>
      <c r="V170" s="4"/>
      <c r="W170" s="4"/>
      <c r="X170" s="4"/>
      <c r="Y170" s="4">
        <f t="shared" ref="Y170:Z170" si="509">(L170-L169)/L169</f>
        <v>0.01394209396</v>
      </c>
      <c r="Z170" s="4">
        <f t="shared" si="509"/>
        <v>0.02339385429</v>
      </c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</row>
    <row r="171" ht="14.25" customHeight="1">
      <c r="A171" s="12">
        <v>45469.0</v>
      </c>
      <c r="B171" s="13">
        <v>4071.2</v>
      </c>
      <c r="C171" s="13">
        <v>16.28</v>
      </c>
      <c r="D171" s="13">
        <v>11892.0</v>
      </c>
      <c r="E171" s="4">
        <f t="shared" ref="E171:G171" si="510">LN(B171/B170)</f>
        <v>0</v>
      </c>
      <c r="F171" s="4">
        <f t="shared" si="510"/>
        <v>0.02866239823</v>
      </c>
      <c r="G171" s="4">
        <f t="shared" si="510"/>
        <v>-0.03629105914</v>
      </c>
      <c r="H171" s="4">
        <f t="shared" si="2"/>
        <v>5273.2284</v>
      </c>
      <c r="I171" s="4">
        <f t="shared" si="6"/>
        <v>-0.02710456685</v>
      </c>
      <c r="J171" s="4">
        <f t="shared" si="7"/>
        <v>-0.02787904492</v>
      </c>
      <c r="K171" s="4">
        <f t="shared" si="8"/>
        <v>0.0000005998162895</v>
      </c>
      <c r="L171" s="14">
        <v>3148.2</v>
      </c>
      <c r="M171" s="4">
        <f t="shared" si="3"/>
        <v>10090.44256</v>
      </c>
      <c r="N171" s="4"/>
      <c r="O171" s="4"/>
      <c r="P171" s="4"/>
      <c r="Q171" s="4">
        <f t="shared" ref="Q171:S171" si="511">IF(E170=0,0,(E171-E170)/E170)</f>
        <v>-1</v>
      </c>
      <c r="R171" s="4">
        <f t="shared" si="511"/>
        <v>-2.068776772</v>
      </c>
      <c r="S171" s="4">
        <f t="shared" si="511"/>
        <v>-2.463644372</v>
      </c>
      <c r="T171" s="15">
        <v>3151.7</v>
      </c>
      <c r="U171" s="4"/>
      <c r="V171" s="4"/>
      <c r="W171" s="4"/>
      <c r="X171" s="4"/>
      <c r="Y171" s="4">
        <f t="shared" ref="Y171:Z171" si="512">(L171-L170)/L170</f>
        <v>-0.02105469369</v>
      </c>
      <c r="Z171" s="4">
        <f t="shared" si="512"/>
        <v>-0.03254724885</v>
      </c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</row>
    <row r="172" ht="14.25" customHeight="1">
      <c r="A172" s="7">
        <v>45497.0</v>
      </c>
      <c r="B172" s="8">
        <v>4148.5</v>
      </c>
      <c r="C172" s="8">
        <v>17.6</v>
      </c>
      <c r="D172" s="8">
        <v>12959.5</v>
      </c>
      <c r="E172" s="4">
        <f t="shared" ref="E172:G172" si="513">LN(B172/B171)</f>
        <v>0.01880902683</v>
      </c>
      <c r="F172" s="4">
        <f t="shared" si="513"/>
        <v>0.07796154147</v>
      </c>
      <c r="G172" s="4">
        <f t="shared" si="513"/>
        <v>0.0859632048</v>
      </c>
      <c r="H172" s="4">
        <f t="shared" si="2"/>
        <v>5651.448</v>
      </c>
      <c r="I172" s="4">
        <f t="shared" si="6"/>
        <v>0.0692690209</v>
      </c>
      <c r="J172" s="4">
        <f t="shared" si="7"/>
        <v>0.0709921246</v>
      </c>
      <c r="K172" s="4">
        <f t="shared" si="8"/>
        <v>0.000002969086378</v>
      </c>
      <c r="L172" s="9">
        <v>3050.75</v>
      </c>
      <c r="M172" s="4">
        <f t="shared" si="3"/>
        <v>10932.16443</v>
      </c>
      <c r="N172" s="4"/>
      <c r="O172" s="4"/>
      <c r="P172" s="4"/>
      <c r="Q172" s="4">
        <f t="shared" ref="Q172:S172" si="514">IF(E171=0,0,(E172-E171)/E171)</f>
        <v>0</v>
      </c>
      <c r="R172" s="4">
        <f t="shared" si="514"/>
        <v>1.71999366</v>
      </c>
      <c r="S172" s="4">
        <f t="shared" si="514"/>
        <v>-3.368715789</v>
      </c>
      <c r="T172" s="11">
        <v>3051.76</v>
      </c>
      <c r="U172" s="4"/>
      <c r="V172" s="4"/>
      <c r="W172" s="4"/>
      <c r="X172" s="4"/>
      <c r="Y172" s="4">
        <f t="shared" ref="Y172:Z172" si="515">(L172-L171)/L171</f>
        <v>-0.03095419605</v>
      </c>
      <c r="Z172" s="4">
        <f t="shared" si="515"/>
        <v>0.08341773571</v>
      </c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</row>
    <row r="173" ht="14.25" customHeight="1">
      <c r="A173" s="12">
        <v>45498.0</v>
      </c>
      <c r="B173" s="13">
        <v>4137.5</v>
      </c>
      <c r="C173" s="13">
        <v>17.5</v>
      </c>
      <c r="D173" s="13">
        <v>12759.5</v>
      </c>
      <c r="E173" s="4">
        <f t="shared" ref="E173:G173" si="516">LN(B173/B172)</f>
        <v>-0.002655082419</v>
      </c>
      <c r="F173" s="4">
        <f t="shared" si="516"/>
        <v>-0.005698021115</v>
      </c>
      <c r="G173" s="4">
        <f t="shared" si="516"/>
        <v>-0.01555301774</v>
      </c>
      <c r="H173" s="4">
        <f t="shared" si="2"/>
        <v>5581.785</v>
      </c>
      <c r="I173" s="4">
        <f t="shared" si="6"/>
        <v>-0.0124031778</v>
      </c>
      <c r="J173" s="4">
        <f t="shared" si="7"/>
        <v>-0.01263350468</v>
      </c>
      <c r="K173" s="4">
        <f t="shared" si="8"/>
        <v>0.00000005305047274</v>
      </c>
      <c r="L173" s="14">
        <v>3039.9</v>
      </c>
      <c r="M173" s="4">
        <f t="shared" si="3"/>
        <v>10775.23973</v>
      </c>
      <c r="N173" s="4"/>
      <c r="O173" s="4"/>
      <c r="P173" s="4"/>
      <c r="Q173" s="4">
        <f t="shared" ref="Q173:S173" si="517">IF(E172=0,0,(E173-E172)/E172)</f>
        <v>-1.14116001</v>
      </c>
      <c r="R173" s="4">
        <f t="shared" si="517"/>
        <v>-1.073087589</v>
      </c>
      <c r="S173" s="4">
        <f t="shared" si="517"/>
        <v>-1.180926453</v>
      </c>
      <c r="T173" s="15">
        <v>3041.37</v>
      </c>
      <c r="U173" s="4"/>
      <c r="V173" s="4"/>
      <c r="W173" s="4"/>
      <c r="X173" s="4"/>
      <c r="Y173" s="4">
        <f t="shared" ref="Y173:Z173" si="518">(L173-L172)/L172</f>
        <v>-0.003556502499</v>
      </c>
      <c r="Z173" s="4">
        <f t="shared" si="518"/>
        <v>-0.01435440417</v>
      </c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</row>
    <row r="174" ht="14.25" customHeight="1">
      <c r="A174" s="7">
        <v>45499.0</v>
      </c>
      <c r="B174" s="8">
        <v>3962.5</v>
      </c>
      <c r="C174" s="8">
        <v>17.47</v>
      </c>
      <c r="D174" s="8">
        <v>12603.5</v>
      </c>
      <c r="E174" s="4">
        <f t="shared" ref="E174:G174" si="519">LN(B174/B173)</f>
        <v>-0.0432166015</v>
      </c>
      <c r="F174" s="4">
        <f t="shared" si="519"/>
        <v>-0.001715756784</v>
      </c>
      <c r="G174" s="4">
        <f t="shared" si="519"/>
        <v>-0.01230153903</v>
      </c>
      <c r="H174" s="4">
        <f t="shared" si="2"/>
        <v>5472.5451</v>
      </c>
      <c r="I174" s="4">
        <f t="shared" si="6"/>
        <v>-0.01976482612</v>
      </c>
      <c r="J174" s="4">
        <f t="shared" si="7"/>
        <v>-0.01911796681</v>
      </c>
      <c r="K174" s="4">
        <f t="shared" si="8"/>
        <v>0.0000004184269719</v>
      </c>
      <c r="L174" s="9">
        <v>2991.78</v>
      </c>
      <c r="M174" s="4">
        <f t="shared" si="3"/>
        <v>10615.84284</v>
      </c>
      <c r="N174" s="4"/>
      <c r="O174" s="4"/>
      <c r="P174" s="4"/>
      <c r="Q174" s="4">
        <f t="shared" ref="Q174:S174" si="520">IF(E173=0,0,(E174-E173)/E173)</f>
        <v>15.27693408</v>
      </c>
      <c r="R174" s="4">
        <f t="shared" si="520"/>
        <v>-0.6988854992</v>
      </c>
      <c r="S174" s="4">
        <f t="shared" si="520"/>
        <v>-0.2090577377</v>
      </c>
      <c r="T174" s="11">
        <v>2993.23</v>
      </c>
      <c r="U174" s="4"/>
      <c r="V174" s="4"/>
      <c r="W174" s="4"/>
      <c r="X174" s="4"/>
      <c r="Y174" s="4">
        <f t="shared" ref="Y174:Z174" si="521">(L174-L173)/L173</f>
        <v>-0.01582946807</v>
      </c>
      <c r="Z174" s="4">
        <f t="shared" si="521"/>
        <v>-0.01479288558</v>
      </c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</row>
    <row r="175" ht="14.25" customHeight="1">
      <c r="A175" s="12">
        <v>45502.0</v>
      </c>
      <c r="B175" s="13">
        <v>3867.0</v>
      </c>
      <c r="C175" s="13">
        <v>17.64</v>
      </c>
      <c r="D175" s="13">
        <v>12295.0</v>
      </c>
      <c r="E175" s="4">
        <f t="shared" ref="E175:G175" si="522">LN(B175/B174)</f>
        <v>-0.02439612658</v>
      </c>
      <c r="F175" s="4">
        <f t="shared" si="522"/>
        <v>0.009683926433</v>
      </c>
      <c r="G175" s="4">
        <f t="shared" si="522"/>
        <v>-0.02478187749</v>
      </c>
      <c r="H175" s="4">
        <f t="shared" si="2"/>
        <v>5339.2812</v>
      </c>
      <c r="I175" s="4">
        <f t="shared" si="6"/>
        <v>-0.02465275442</v>
      </c>
      <c r="J175" s="4">
        <f t="shared" si="7"/>
        <v>-0.02451339918</v>
      </c>
      <c r="K175" s="4">
        <f t="shared" si="8"/>
        <v>0.00000001941988227</v>
      </c>
      <c r="L175" s="14">
        <v>2908.35</v>
      </c>
      <c r="M175" s="4">
        <f t="shared" si="3"/>
        <v>10356.33009</v>
      </c>
      <c r="N175" s="4"/>
      <c r="O175" s="4"/>
      <c r="P175" s="4"/>
      <c r="Q175" s="4">
        <f t="shared" ref="Q175:S175" si="523">IF(E174=0,0,(E175-E174)/E174)</f>
        <v>-0.4354917848</v>
      </c>
      <c r="R175" s="4">
        <f t="shared" si="523"/>
        <v>-6.644113738</v>
      </c>
      <c r="S175" s="4">
        <f t="shared" si="523"/>
        <v>1.01453472</v>
      </c>
      <c r="T175" s="15">
        <v>2906.95</v>
      </c>
      <c r="U175" s="4"/>
      <c r="V175" s="4"/>
      <c r="W175" s="4"/>
      <c r="X175" s="4"/>
      <c r="Y175" s="4">
        <f t="shared" ref="Y175:Z175" si="524">(L175-L174)/L174</f>
        <v>-0.02788640876</v>
      </c>
      <c r="Z175" s="4">
        <f t="shared" si="524"/>
        <v>-0.02444579793</v>
      </c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</row>
    <row r="176" ht="14.25" customHeight="1">
      <c r="A176" s="7">
        <v>45503.0</v>
      </c>
      <c r="B176" s="8">
        <v>3910.0</v>
      </c>
      <c r="C176" s="8">
        <v>18.29</v>
      </c>
      <c r="D176" s="8">
        <v>12716.0</v>
      </c>
      <c r="E176" s="4">
        <f t="shared" ref="E176:G176" si="525">LN(B176/B175)</f>
        <v>0.01105836137</v>
      </c>
      <c r="F176" s="4">
        <f t="shared" si="525"/>
        <v>0.03618541182</v>
      </c>
      <c r="G176" s="4">
        <f t="shared" si="525"/>
        <v>0.03366836738</v>
      </c>
      <c r="H176" s="4">
        <f t="shared" si="2"/>
        <v>5492.6157</v>
      </c>
      <c r="I176" s="4">
        <f t="shared" si="6"/>
        <v>0.02831355297</v>
      </c>
      <c r="J176" s="4">
        <f t="shared" si="7"/>
        <v>0.02865541157</v>
      </c>
      <c r="K176" s="4">
        <f t="shared" si="8"/>
        <v>0.0000001168672976</v>
      </c>
      <c r="L176" s="9">
        <v>2946.31</v>
      </c>
      <c r="M176" s="4">
        <f t="shared" si="3"/>
        <v>10691.07056</v>
      </c>
      <c r="N176" s="4"/>
      <c r="O176" s="4"/>
      <c r="P176" s="4"/>
      <c r="Q176" s="4">
        <f t="shared" ref="Q176:S176" si="526">IF(E175=0,0,(E176-E175)/E175)</f>
        <v>-1.453283489</v>
      </c>
      <c r="R176" s="4">
        <f t="shared" si="526"/>
        <v>2.736646708</v>
      </c>
      <c r="S176" s="4">
        <f t="shared" si="526"/>
        <v>-2.358588242</v>
      </c>
      <c r="T176" s="11">
        <v>2944.78</v>
      </c>
      <c r="U176" s="4"/>
      <c r="V176" s="4"/>
      <c r="W176" s="4"/>
      <c r="X176" s="4"/>
      <c r="Y176" s="4">
        <f t="shared" ref="Y176:Z176" si="527">(L176-L175)/L175</f>
        <v>0.0130520742</v>
      </c>
      <c r="Z176" s="4">
        <f t="shared" si="527"/>
        <v>0.03232230554</v>
      </c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</row>
    <row r="177" ht="14.25" customHeight="1">
      <c r="A177" s="12">
        <v>45504.0</v>
      </c>
      <c r="B177" s="13">
        <v>3892.0</v>
      </c>
      <c r="C177" s="13">
        <v>18.01</v>
      </c>
      <c r="D177" s="13">
        <v>12929.5</v>
      </c>
      <c r="E177" s="4">
        <f t="shared" ref="E177:G177" si="528">LN(B177/B176)</f>
        <v>-0.004614209674</v>
      </c>
      <c r="F177" s="4">
        <f t="shared" si="528"/>
        <v>-0.01542730321</v>
      </c>
      <c r="G177" s="4">
        <f t="shared" si="528"/>
        <v>0.01665047923</v>
      </c>
      <c r="H177" s="4">
        <f t="shared" si="2"/>
        <v>5557.0383</v>
      </c>
      <c r="I177" s="4">
        <f t="shared" si="6"/>
        <v>0.01166069634</v>
      </c>
      <c r="J177" s="4">
        <f t="shared" si="7"/>
        <v>0.01175318483</v>
      </c>
      <c r="K177" s="4">
        <f t="shared" si="8"/>
        <v>0.000000008554121084</v>
      </c>
      <c r="L177" s="14">
        <v>2945.37</v>
      </c>
      <c r="M177" s="4">
        <f t="shared" si="3"/>
        <v>10851.97375</v>
      </c>
      <c r="N177" s="4"/>
      <c r="O177" s="4"/>
      <c r="P177" s="4"/>
      <c r="Q177" s="4">
        <f t="shared" ref="Q177:S177" si="529">IF(E176=0,0,(E177-E176)/E176)</f>
        <v>-1.417259802</v>
      </c>
      <c r="R177" s="4">
        <f t="shared" si="529"/>
        <v>-1.426340407</v>
      </c>
      <c r="S177" s="4">
        <f t="shared" si="529"/>
        <v>-0.5054562926</v>
      </c>
      <c r="T177" s="15">
        <v>2942.68</v>
      </c>
      <c r="U177" s="4"/>
      <c r="V177" s="4"/>
      <c r="W177" s="4"/>
      <c r="X177" s="4"/>
      <c r="Y177" s="4">
        <f t="shared" ref="Y177:Z177" si="530">(L177-L176)/L176</f>
        <v>-0.0003190431421</v>
      </c>
      <c r="Z177" s="4">
        <f t="shared" si="530"/>
        <v>0.01505024117</v>
      </c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</row>
    <row r="178" ht="14.25" customHeight="1">
      <c r="A178" s="7">
        <v>45505.0</v>
      </c>
      <c r="B178" s="8">
        <v>3871.5</v>
      </c>
      <c r="C178" s="8">
        <v>17.72</v>
      </c>
      <c r="D178" s="8">
        <v>12850.0</v>
      </c>
      <c r="E178" s="4">
        <f t="shared" ref="E178:G178" si="531">LN(B178/B177)</f>
        <v>-0.005281135479</v>
      </c>
      <c r="F178" s="4">
        <f t="shared" si="531"/>
        <v>-0.01623321401</v>
      </c>
      <c r="G178" s="4">
        <f t="shared" si="531"/>
        <v>-0.006167710935</v>
      </c>
      <c r="H178" s="4">
        <f t="shared" si="2"/>
        <v>5523.9426</v>
      </c>
      <c r="I178" s="4">
        <f t="shared" si="6"/>
        <v>-0.00597344201</v>
      </c>
      <c r="J178" s="4">
        <f t="shared" si="7"/>
        <v>-0.006023984824</v>
      </c>
      <c r="K178" s="4">
        <f t="shared" si="8"/>
        <v>0.000000002554575999</v>
      </c>
      <c r="L178" s="9">
        <v>2936.42</v>
      </c>
      <c r="M178" s="4">
        <f t="shared" si="3"/>
        <v>10786.00964</v>
      </c>
      <c r="N178" s="4"/>
      <c r="O178" s="4"/>
      <c r="P178" s="4"/>
      <c r="Q178" s="4">
        <f t="shared" ref="Q178:S178" si="532">IF(E177=0,0,(E178-E177)/E177)</f>
        <v>0.1445373862</v>
      </c>
      <c r="R178" s="4">
        <f t="shared" si="532"/>
        <v>0.05223925302</v>
      </c>
      <c r="S178" s="4">
        <f t="shared" si="532"/>
        <v>-1.370422428</v>
      </c>
      <c r="T178" s="11">
        <v>2935.69</v>
      </c>
      <c r="U178" s="4"/>
      <c r="V178" s="4"/>
      <c r="W178" s="4"/>
      <c r="X178" s="4"/>
      <c r="Y178" s="4">
        <f t="shared" ref="Y178:Z178" si="533">(L178-L177)/L177</f>
        <v>-0.003038667468</v>
      </c>
      <c r="Z178" s="4">
        <f t="shared" si="533"/>
        <v>-0.006078535652</v>
      </c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</row>
    <row r="179" ht="14.25" customHeight="1">
      <c r="A179" s="12">
        <v>45506.0</v>
      </c>
      <c r="B179" s="13">
        <v>3728.5</v>
      </c>
      <c r="C179" s="13">
        <v>16.62</v>
      </c>
      <c r="D179" s="13">
        <v>12588.0</v>
      </c>
      <c r="E179" s="4">
        <f t="shared" ref="E179:G179" si="534">LN(B179/B178)</f>
        <v>-0.03763602084</v>
      </c>
      <c r="F179" s="4">
        <f t="shared" si="534"/>
        <v>-0.06408715575</v>
      </c>
      <c r="G179" s="4">
        <f t="shared" si="534"/>
        <v>-0.02059983214</v>
      </c>
      <c r="H179" s="4">
        <f t="shared" si="2"/>
        <v>5389.9296</v>
      </c>
      <c r="I179" s="4">
        <f t="shared" si="6"/>
        <v>-0.02455952086</v>
      </c>
      <c r="J179" s="4">
        <f t="shared" si="7"/>
        <v>-0.02461760195</v>
      </c>
      <c r="K179" s="4">
        <f t="shared" si="8"/>
        <v>0.000000003373413034</v>
      </c>
      <c r="L179" s="14">
        <v>2898.92</v>
      </c>
      <c r="M179" s="4">
        <f t="shared" si="3"/>
        <v>10551.84703</v>
      </c>
      <c r="N179" s="4"/>
      <c r="O179" s="4"/>
      <c r="P179" s="4"/>
      <c r="Q179" s="4">
        <f t="shared" ref="Q179:S179" si="535">IF(E178=0,0,(E179-E178)/E178)</f>
        <v>6.126501676</v>
      </c>
      <c r="R179" s="4">
        <f t="shared" si="535"/>
        <v>2.94790309</v>
      </c>
      <c r="S179" s="4">
        <f t="shared" si="535"/>
        <v>2.339947731</v>
      </c>
      <c r="T179" s="15">
        <v>2899.0</v>
      </c>
      <c r="U179" s="4"/>
      <c r="V179" s="4"/>
      <c r="W179" s="4"/>
      <c r="X179" s="4"/>
      <c r="Y179" s="4">
        <f t="shared" ref="Y179:Z179" si="536">(L179-L178)/L178</f>
        <v>-0.0127706527</v>
      </c>
      <c r="Z179" s="4">
        <f t="shared" si="536"/>
        <v>-0.02170984574</v>
      </c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</row>
    <row r="180" ht="14.25" customHeight="1">
      <c r="A180" s="7">
        <v>45509.0</v>
      </c>
      <c r="B180" s="8">
        <v>3585.0</v>
      </c>
      <c r="C180" s="8">
        <v>16.03</v>
      </c>
      <c r="D180" s="8">
        <v>12297.0</v>
      </c>
      <c r="E180" s="4">
        <f t="shared" ref="E180:G180" si="537">LN(B180/B179)</f>
        <v>-0.03924753395</v>
      </c>
      <c r="F180" s="4">
        <f t="shared" si="537"/>
        <v>-0.03614482281</v>
      </c>
      <c r="G180" s="4">
        <f t="shared" si="537"/>
        <v>-0.02338864901</v>
      </c>
      <c r="H180" s="4">
        <f t="shared" si="2"/>
        <v>5246.3499</v>
      </c>
      <c r="I180" s="4">
        <f t="shared" si="6"/>
        <v>-0.02699974595</v>
      </c>
      <c r="J180" s="4">
        <f t="shared" si="7"/>
        <v>-0.02698177463</v>
      </c>
      <c r="K180" s="4">
        <f t="shared" si="8"/>
        <v>0.0000000003229683398</v>
      </c>
      <c r="L180" s="9">
        <v>2830.88</v>
      </c>
      <c r="M180" s="4">
        <f t="shared" si="3"/>
        <v>10295.17655</v>
      </c>
      <c r="N180" s="4"/>
      <c r="O180" s="4"/>
      <c r="P180" s="4"/>
      <c r="Q180" s="4">
        <f t="shared" ref="Q180:S180" si="538">IF(E179=0,0,(E180-E179)/E179)</f>
        <v>0.0428183711</v>
      </c>
      <c r="R180" s="4">
        <f t="shared" si="538"/>
        <v>-0.4360051966</v>
      </c>
      <c r="S180" s="4">
        <f t="shared" si="538"/>
        <v>0.135380563</v>
      </c>
      <c r="T180" s="11">
        <v>2828.72</v>
      </c>
      <c r="U180" s="4"/>
      <c r="V180" s="4"/>
      <c r="W180" s="4"/>
      <c r="X180" s="4"/>
      <c r="Y180" s="4">
        <f t="shared" ref="Y180:Z180" si="539">(L180-L179)/L179</f>
        <v>-0.02347080982</v>
      </c>
      <c r="Z180" s="4">
        <f t="shared" si="539"/>
        <v>-0.02432469721</v>
      </c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</row>
    <row r="181" ht="14.25" customHeight="1">
      <c r="A181" s="12">
        <v>45510.0</v>
      </c>
      <c r="B181" s="13">
        <v>3644.0</v>
      </c>
      <c r="C181" s="13">
        <v>16.12</v>
      </c>
      <c r="D181" s="13">
        <v>12379.0</v>
      </c>
      <c r="E181" s="4">
        <f t="shared" ref="E181:G181" si="540">LN(B181/B180)</f>
        <v>0.01632350535</v>
      </c>
      <c r="F181" s="4">
        <f t="shared" si="540"/>
        <v>0.005598770457</v>
      </c>
      <c r="G181" s="4">
        <f t="shared" si="540"/>
        <v>0.006646158359</v>
      </c>
      <c r="H181" s="4">
        <f t="shared" si="2"/>
        <v>5292.9096</v>
      </c>
      <c r="I181" s="4">
        <f t="shared" si="6"/>
        <v>0.008835535911</v>
      </c>
      <c r="J181" s="4">
        <f t="shared" si="7"/>
        <v>0.008791920784</v>
      </c>
      <c r="K181" s="4">
        <f t="shared" si="8"/>
        <v>0.000000001902279321</v>
      </c>
      <c r="L181" s="14">
        <v>2833.85</v>
      </c>
      <c r="M181" s="4">
        <f t="shared" si="3"/>
        <v>10371.6293</v>
      </c>
      <c r="N181" s="4"/>
      <c r="O181" s="4"/>
      <c r="P181" s="4"/>
      <c r="Q181" s="4">
        <f t="shared" ref="Q181:S181" si="541">IF(E180=0,0,(E181-E180)/E180)</f>
        <v>-1.415911618</v>
      </c>
      <c r="R181" s="4">
        <f t="shared" si="541"/>
        <v>-1.154898268</v>
      </c>
      <c r="S181" s="4">
        <f t="shared" si="541"/>
        <v>-1.284161704</v>
      </c>
      <c r="T181" s="15">
        <v>2830.75</v>
      </c>
      <c r="U181" s="4"/>
      <c r="V181" s="4"/>
      <c r="W181" s="4"/>
      <c r="X181" s="4"/>
      <c r="Y181" s="4">
        <f t="shared" ref="Y181:Z181" si="542">(L181-L180)/L180</f>
        <v>0.001049143729</v>
      </c>
      <c r="Z181" s="4">
        <f t="shared" si="542"/>
        <v>0.007426074458</v>
      </c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</row>
    <row r="182" ht="14.25" customHeight="1">
      <c r="A182" s="7">
        <v>45511.0</v>
      </c>
      <c r="B182" s="8">
        <v>3854.0</v>
      </c>
      <c r="C182" s="8">
        <v>16.27</v>
      </c>
      <c r="D182" s="8">
        <v>12330.5</v>
      </c>
      <c r="E182" s="4">
        <f t="shared" ref="E182:G182" si="543">LN(B182/B181)</f>
        <v>0.05602959059</v>
      </c>
      <c r="F182" s="4">
        <f t="shared" si="543"/>
        <v>0.009262184152</v>
      </c>
      <c r="G182" s="4">
        <f t="shared" si="543"/>
        <v>-0.003925620695</v>
      </c>
      <c r="H182" s="4">
        <f t="shared" si="2"/>
        <v>5346.2541</v>
      </c>
      <c r="I182" s="4">
        <f t="shared" si="6"/>
        <v>0.01002803388</v>
      </c>
      <c r="J182" s="4">
        <f t="shared" si="7"/>
        <v>0.009472593583</v>
      </c>
      <c r="K182" s="4">
        <f t="shared" si="8"/>
        <v>0.0000003085139267</v>
      </c>
      <c r="L182" s="9">
        <v>2873.61</v>
      </c>
      <c r="M182" s="4">
        <f t="shared" si="3"/>
        <v>10380.85286</v>
      </c>
      <c r="N182" s="4"/>
      <c r="O182" s="4"/>
      <c r="P182" s="4"/>
      <c r="Q182" s="4">
        <f t="shared" ref="Q182:S182" si="544">IF(E181=0,0,(E182-E181)/E181)</f>
        <v>2.432448448</v>
      </c>
      <c r="R182" s="4">
        <f t="shared" si="544"/>
        <v>0.6543246814</v>
      </c>
      <c r="S182" s="4">
        <f t="shared" si="544"/>
        <v>-1.59066012</v>
      </c>
      <c r="T182" s="11">
        <v>2874.94</v>
      </c>
      <c r="U182" s="4"/>
      <c r="V182" s="4"/>
      <c r="W182" s="4"/>
      <c r="X182" s="4"/>
      <c r="Y182" s="4">
        <f t="shared" ref="Y182:Z182" si="545">(L182-L181)/L181</f>
        <v>0.01403038269</v>
      </c>
      <c r="Z182" s="4">
        <f t="shared" si="545"/>
        <v>0.0008893076588</v>
      </c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</row>
    <row r="183" ht="14.25" customHeight="1">
      <c r="A183" s="12">
        <v>45512.0</v>
      </c>
      <c r="B183" s="13">
        <v>3828.0</v>
      </c>
      <c r="C183" s="13">
        <v>16.29</v>
      </c>
      <c r="D183" s="13">
        <v>12368.5</v>
      </c>
      <c r="E183" s="4">
        <f t="shared" ref="E183:G183" si="546">LN(B183/B182)</f>
        <v>-0.006769096401</v>
      </c>
      <c r="F183" s="4">
        <f t="shared" si="546"/>
        <v>0.001228501383</v>
      </c>
      <c r="G183" s="4">
        <f t="shared" si="546"/>
        <v>0.003077050082</v>
      </c>
      <c r="H183" s="4">
        <f t="shared" si="2"/>
        <v>5350.2207</v>
      </c>
      <c r="I183" s="4">
        <f t="shared" si="6"/>
        <v>0.0007416649421</v>
      </c>
      <c r="J183" s="4">
        <f t="shared" si="7"/>
        <v>0.0008784096865</v>
      </c>
      <c r="K183" s="4">
        <f t="shared" si="8"/>
        <v>0.00000001869912511</v>
      </c>
      <c r="L183" s="14">
        <v>2849.26</v>
      </c>
      <c r="M183" s="4">
        <f t="shared" si="3"/>
        <v>10404.42404</v>
      </c>
      <c r="N183" s="4"/>
      <c r="O183" s="4"/>
      <c r="P183" s="4"/>
      <c r="Q183" s="4">
        <f t="shared" ref="Q183:S183" si="547">IF(E182=0,0,(E183-E182)/E182)</f>
        <v>-1.120812884</v>
      </c>
      <c r="R183" s="4">
        <f t="shared" si="547"/>
        <v>-0.8673637489</v>
      </c>
      <c r="S183" s="4">
        <f t="shared" si="547"/>
        <v>-1.783837849</v>
      </c>
      <c r="T183" s="15">
        <v>2852.51</v>
      </c>
      <c r="U183" s="4"/>
      <c r="V183" s="4"/>
      <c r="W183" s="4"/>
      <c r="X183" s="4"/>
      <c r="Y183" s="4">
        <f t="shared" ref="Y183:Z183" si="548">(L183-L182)/L182</f>
        <v>-0.008473662049</v>
      </c>
      <c r="Z183" s="4">
        <f t="shared" si="548"/>
        <v>0.002270639397</v>
      </c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</row>
    <row r="184" ht="14.25" customHeight="1">
      <c r="A184" s="7">
        <v>45513.0</v>
      </c>
      <c r="B184" s="8">
        <v>3854.5</v>
      </c>
      <c r="C184" s="8">
        <v>16.35</v>
      </c>
      <c r="D184" s="8">
        <v>12301.5</v>
      </c>
      <c r="E184" s="4">
        <f t="shared" ref="E184:G184" si="549">LN(B184/B183)</f>
        <v>0.006898823326</v>
      </c>
      <c r="F184" s="4">
        <f t="shared" si="549"/>
        <v>0.003676474729</v>
      </c>
      <c r="G184" s="4">
        <f t="shared" si="549"/>
        <v>-0.005431711774</v>
      </c>
      <c r="H184" s="4">
        <f t="shared" si="2"/>
        <v>5336.8755</v>
      </c>
      <c r="I184" s="4">
        <f t="shared" si="6"/>
        <v>-0.002497443026</v>
      </c>
      <c r="J184" s="4">
        <f t="shared" si="7"/>
        <v>-0.002642293487</v>
      </c>
      <c r="K184" s="4">
        <f t="shared" si="8"/>
        <v>0.00000002098165599</v>
      </c>
      <c r="L184" s="9">
        <v>2846.04</v>
      </c>
      <c r="M184" s="4">
        <f t="shared" si="3"/>
        <v>10358.56501</v>
      </c>
      <c r="N184" s="4"/>
      <c r="O184" s="4"/>
      <c r="P184" s="4"/>
      <c r="Q184" s="4">
        <f t="shared" ref="Q184:S184" si="550">IF(E183=0,0,(E184-E183)/E183)</f>
        <v>-2.019164585</v>
      </c>
      <c r="R184" s="4">
        <f t="shared" si="550"/>
        <v>1.992650053</v>
      </c>
      <c r="S184" s="4">
        <f t="shared" si="550"/>
        <v>-2.765233464</v>
      </c>
      <c r="T184" s="11">
        <v>2848.29</v>
      </c>
      <c r="U184" s="4"/>
      <c r="V184" s="4"/>
      <c r="W184" s="4"/>
      <c r="X184" s="4"/>
      <c r="Y184" s="4">
        <f t="shared" ref="Y184:Z184" si="551">(L184-L183)/L183</f>
        <v>-0.001130117996</v>
      </c>
      <c r="Z184" s="4">
        <f t="shared" si="551"/>
        <v>-0.004407646923</v>
      </c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</row>
    <row r="185" ht="14.25" customHeight="1">
      <c r="A185" s="12">
        <v>45516.0</v>
      </c>
      <c r="B185" s="13">
        <v>3923.0</v>
      </c>
      <c r="C185" s="13">
        <v>16.61</v>
      </c>
      <c r="D185" s="13">
        <v>12731.5</v>
      </c>
      <c r="E185" s="4">
        <f t="shared" ref="E185:G185" si="552">LN(B185/B184)</f>
        <v>0.01761537031</v>
      </c>
      <c r="F185" s="4">
        <f t="shared" si="552"/>
        <v>0.01577702628</v>
      </c>
      <c r="G185" s="4">
        <f t="shared" si="552"/>
        <v>0.03435803136</v>
      </c>
      <c r="H185" s="4">
        <f t="shared" si="2"/>
        <v>5501.4663</v>
      </c>
      <c r="I185" s="4">
        <f t="shared" si="6"/>
        <v>0.03037428734</v>
      </c>
      <c r="J185" s="4">
        <f t="shared" si="7"/>
        <v>0.03053755758</v>
      </c>
      <c r="K185" s="4">
        <f t="shared" si="8"/>
        <v>0.00000002665717021</v>
      </c>
      <c r="L185" s="14">
        <v>2848.94</v>
      </c>
      <c r="M185" s="4">
        <f t="shared" si="3"/>
        <v>10705.92371</v>
      </c>
      <c r="N185" s="4"/>
      <c r="O185" s="4"/>
      <c r="P185" s="4"/>
      <c r="Q185" s="4">
        <f t="shared" ref="Q185:S185" si="553">IF(E184=0,0,(E185-E184)/E184)</f>
        <v>1.553387654</v>
      </c>
      <c r="R185" s="4">
        <f t="shared" si="553"/>
        <v>3.291346315</v>
      </c>
      <c r="S185" s="4">
        <f t="shared" si="553"/>
        <v>-7.325451863</v>
      </c>
      <c r="T185" s="15">
        <v>2844.77</v>
      </c>
      <c r="U185" s="4"/>
      <c r="V185" s="4"/>
      <c r="W185" s="4"/>
      <c r="X185" s="4"/>
      <c r="Y185" s="4">
        <f t="shared" ref="Y185:Z185" si="554">(L185-L184)/L184</f>
        <v>0.001018959677</v>
      </c>
      <c r="Z185" s="4">
        <f t="shared" si="554"/>
        <v>0.03353347718</v>
      </c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</row>
    <row r="186" ht="14.25" customHeight="1">
      <c r="A186" s="7">
        <v>45517.0</v>
      </c>
      <c r="B186" s="8">
        <v>3911.0</v>
      </c>
      <c r="C186" s="8">
        <v>16.54</v>
      </c>
      <c r="D186" s="8">
        <v>12832.5</v>
      </c>
      <c r="E186" s="4">
        <f t="shared" ref="E186:G186" si="555">LN(B186/B185)</f>
        <v>-0.003063571454</v>
      </c>
      <c r="F186" s="4">
        <f t="shared" si="555"/>
        <v>-0.00422323403</v>
      </c>
      <c r="G186" s="4">
        <f t="shared" si="555"/>
        <v>0.007901777931</v>
      </c>
      <c r="H186" s="4">
        <f t="shared" si="2"/>
        <v>5530.8132</v>
      </c>
      <c r="I186" s="4">
        <f t="shared" si="6"/>
        <v>0.005320200457</v>
      </c>
      <c r="J186" s="4">
        <f t="shared" si="7"/>
        <v>0.005399852185</v>
      </c>
      <c r="K186" s="4">
        <f t="shared" si="8"/>
        <v>0.000000006344397768</v>
      </c>
      <c r="L186" s="9">
        <v>2881.77</v>
      </c>
      <c r="M186" s="4">
        <f t="shared" si="3"/>
        <v>10781.2675</v>
      </c>
      <c r="N186" s="4"/>
      <c r="O186" s="4"/>
      <c r="P186" s="4"/>
      <c r="Q186" s="4">
        <f t="shared" ref="Q186:S186" si="556">IF(E185=0,0,(E186-E185)/E185)</f>
        <v>-1.173914678</v>
      </c>
      <c r="R186" s="4">
        <f t="shared" si="556"/>
        <v>-1.267682512</v>
      </c>
      <c r="S186" s="4">
        <f t="shared" si="556"/>
        <v>-0.7700165691</v>
      </c>
      <c r="T186" s="11">
        <v>2884.6</v>
      </c>
      <c r="U186" s="4"/>
      <c r="V186" s="4"/>
      <c r="W186" s="4"/>
      <c r="X186" s="4"/>
      <c r="Y186" s="4">
        <f t="shared" ref="Y186:Z186" si="557">(L186-L185)/L185</f>
        <v>0.01152358421</v>
      </c>
      <c r="Z186" s="4">
        <f t="shared" si="557"/>
        <v>0.007037579304</v>
      </c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</row>
    <row r="187" ht="14.25" customHeight="1">
      <c r="A187" s="12">
        <v>45518.0</v>
      </c>
      <c r="B187" s="13">
        <v>3831.5</v>
      </c>
      <c r="C187" s="13">
        <v>16.82</v>
      </c>
      <c r="D187" s="13">
        <v>12572.0</v>
      </c>
      <c r="E187" s="4">
        <f t="shared" ref="E187:G187" si="558">LN(B187/B186)</f>
        <v>-0.02053672435</v>
      </c>
      <c r="F187" s="4">
        <f t="shared" si="558"/>
        <v>0.01678696495</v>
      </c>
      <c r="G187" s="4">
        <f t="shared" si="558"/>
        <v>-0.02050889652</v>
      </c>
      <c r="H187" s="4">
        <f t="shared" si="2"/>
        <v>5418.7056</v>
      </c>
      <c r="I187" s="4">
        <f t="shared" si="6"/>
        <v>-0.02047788942</v>
      </c>
      <c r="J187" s="4">
        <f t="shared" si="7"/>
        <v>-0.02031735465</v>
      </c>
      <c r="K187" s="4">
        <f t="shared" si="8"/>
        <v>0.00000002577141358</v>
      </c>
      <c r="L187" s="14">
        <v>2867.65</v>
      </c>
      <c r="M187" s="4">
        <f t="shared" si="3"/>
        <v>10562.38712</v>
      </c>
      <c r="N187" s="4"/>
      <c r="O187" s="4"/>
      <c r="P187" s="4"/>
      <c r="Q187" s="4">
        <f t="shared" ref="Q187:S187" si="559">IF(E186=0,0,(E187-E186)/E186)</f>
        <v>5.703523862</v>
      </c>
      <c r="R187" s="4">
        <f t="shared" si="559"/>
        <v>-4.974907578</v>
      </c>
      <c r="S187" s="4">
        <f t="shared" si="559"/>
        <v>-3.595478726</v>
      </c>
      <c r="T187" s="15">
        <v>2871.11</v>
      </c>
      <c r="U187" s="4"/>
      <c r="V187" s="4"/>
      <c r="W187" s="4"/>
      <c r="X187" s="4"/>
      <c r="Y187" s="4">
        <f t="shared" ref="Y187:Z187" si="560">(L187-L186)/L186</f>
        <v>-0.004899766463</v>
      </c>
      <c r="Z187" s="4">
        <f t="shared" si="560"/>
        <v>-0.02030191521</v>
      </c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</row>
    <row r="188" ht="14.25" customHeight="1">
      <c r="A188" s="7">
        <v>45519.0</v>
      </c>
      <c r="B188" s="8">
        <v>3828.0</v>
      </c>
      <c r="C188" s="8">
        <v>16.93</v>
      </c>
      <c r="D188" s="8">
        <v>12591.5</v>
      </c>
      <c r="E188" s="4">
        <f t="shared" ref="E188:G188" si="561">LN(B188/B187)</f>
        <v>-0.0009138978376</v>
      </c>
      <c r="F188" s="4">
        <f t="shared" si="561"/>
        <v>0.0065185416</v>
      </c>
      <c r="G188" s="4">
        <f t="shared" si="561"/>
        <v>0.0015498642</v>
      </c>
      <c r="H188" s="4">
        <f t="shared" si="2"/>
        <v>5424.0219</v>
      </c>
      <c r="I188" s="4">
        <f t="shared" si="6"/>
        <v>0.000980620499</v>
      </c>
      <c r="J188" s="4">
        <f t="shared" si="7"/>
        <v>0.001028501443</v>
      </c>
      <c r="K188" s="4">
        <f t="shared" si="8"/>
        <v>0.000000002292584774</v>
      </c>
      <c r="L188" s="9">
        <v>2836.3</v>
      </c>
      <c r="M188" s="4">
        <f t="shared" si="3"/>
        <v>10576.67133</v>
      </c>
      <c r="N188" s="4"/>
      <c r="O188" s="4"/>
      <c r="P188" s="4"/>
      <c r="Q188" s="4">
        <f t="shared" ref="Q188:S188" si="562">IF(E187=0,0,(E188-E187)/E187)</f>
        <v>-0.9554993376</v>
      </c>
      <c r="R188" s="4">
        <f t="shared" si="562"/>
        <v>-0.6116902835</v>
      </c>
      <c r="S188" s="4">
        <f t="shared" si="562"/>
        <v>-1.075570336</v>
      </c>
      <c r="T188" s="11">
        <v>2838.11</v>
      </c>
      <c r="U188" s="4"/>
      <c r="V188" s="4"/>
      <c r="W188" s="4"/>
      <c r="X188" s="4"/>
      <c r="Y188" s="4">
        <f t="shared" ref="Y188:Z188" si="563">(L188-L187)/L187</f>
        <v>-0.01093229648</v>
      </c>
      <c r="Z188" s="4">
        <f t="shared" si="563"/>
        <v>0.001352365152</v>
      </c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</row>
    <row r="189" ht="14.25" customHeight="1">
      <c r="A189" s="12">
        <v>45520.0</v>
      </c>
      <c r="B189" s="13">
        <v>3776.5</v>
      </c>
      <c r="C189" s="13">
        <v>17.11</v>
      </c>
      <c r="D189" s="13">
        <v>12675.0</v>
      </c>
      <c r="E189" s="4">
        <f t="shared" ref="E189:G189" si="564">LN(B189/B188)</f>
        <v>-0.01354481882</v>
      </c>
      <c r="F189" s="4">
        <f t="shared" si="564"/>
        <v>0.01057589176</v>
      </c>
      <c r="G189" s="4">
        <f t="shared" si="564"/>
        <v>0.006609566342</v>
      </c>
      <c r="H189" s="4">
        <f t="shared" si="2"/>
        <v>5434.6413</v>
      </c>
      <c r="I189" s="4">
        <f t="shared" si="6"/>
        <v>0.001955931995</v>
      </c>
      <c r="J189" s="4">
        <f t="shared" si="7"/>
        <v>0.002150188976</v>
      </c>
      <c r="K189" s="4">
        <f t="shared" si="8"/>
        <v>0.0000000377357749</v>
      </c>
      <c r="L189" s="14">
        <v>2826.13</v>
      </c>
      <c r="M189" s="4">
        <f t="shared" si="3"/>
        <v>10629.71852</v>
      </c>
      <c r="N189" s="4"/>
      <c r="O189" s="4"/>
      <c r="P189" s="4"/>
      <c r="Q189" s="4">
        <f t="shared" ref="Q189:S189" si="565">IF(E188=0,0,(E189-E188)/E188)</f>
        <v>13.82093322</v>
      </c>
      <c r="R189" s="4">
        <f t="shared" si="565"/>
        <v>0.6224321954</v>
      </c>
      <c r="S189" s="4">
        <f t="shared" si="565"/>
        <v>3.264609983</v>
      </c>
      <c r="T189" s="15">
        <v>2828.2</v>
      </c>
      <c r="U189" s="4"/>
      <c r="V189" s="4"/>
      <c r="W189" s="4"/>
      <c r="X189" s="4"/>
      <c r="Y189" s="4">
        <f t="shared" ref="Y189:Z189" si="566">(L189-L188)/L188</f>
        <v>-0.003585657371</v>
      </c>
      <c r="Z189" s="4">
        <f t="shared" si="566"/>
        <v>0.005015490774</v>
      </c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</row>
    <row r="190" ht="14.25" customHeight="1">
      <c r="A190" s="7">
        <v>45523.0</v>
      </c>
      <c r="B190" s="8">
        <v>3725.5</v>
      </c>
      <c r="C190" s="8">
        <v>17.28</v>
      </c>
      <c r="D190" s="8">
        <v>12703.0</v>
      </c>
      <c r="E190" s="4">
        <f t="shared" ref="E190:G190" si="567">LN(B190/B189)</f>
        <v>-0.01359658376</v>
      </c>
      <c r="F190" s="4">
        <f t="shared" si="567"/>
        <v>0.009886675472</v>
      </c>
      <c r="G190" s="4">
        <f t="shared" si="567"/>
        <v>0.002206636564</v>
      </c>
      <c r="H190" s="4">
        <f t="shared" si="2"/>
        <v>5427.1074</v>
      </c>
      <c r="I190" s="4">
        <f t="shared" si="6"/>
        <v>-0.00138723541</v>
      </c>
      <c r="J190" s="4">
        <f t="shared" si="7"/>
        <v>-0.001265769748</v>
      </c>
      <c r="K190" s="4">
        <f t="shared" si="8"/>
        <v>0.00000001475390704</v>
      </c>
      <c r="L190" s="9">
        <v>2778.02</v>
      </c>
      <c r="M190" s="4">
        <f t="shared" si="3"/>
        <v>10640.00895</v>
      </c>
      <c r="N190" s="4"/>
      <c r="O190" s="4"/>
      <c r="P190" s="4"/>
      <c r="Q190" s="4">
        <f t="shared" ref="Q190:S190" si="568">IF(E189=0,0,(E190-E189)/E189)</f>
        <v>0.003821752145</v>
      </c>
      <c r="R190" s="4">
        <f t="shared" si="568"/>
        <v>-0.06516862152</v>
      </c>
      <c r="S190" s="4">
        <f t="shared" si="568"/>
        <v>-0.6661450313</v>
      </c>
      <c r="T190" s="11">
        <v>2775.64</v>
      </c>
      <c r="U190" s="4"/>
      <c r="V190" s="4"/>
      <c r="W190" s="4"/>
      <c r="X190" s="4"/>
      <c r="Y190" s="4">
        <f t="shared" ref="Y190:Z190" si="569">(L190-L189)/L189</f>
        <v>-0.01702327918</v>
      </c>
      <c r="Z190" s="4">
        <f t="shared" si="569"/>
        <v>0.0009680803128</v>
      </c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</row>
    <row r="191" ht="14.25" customHeight="1">
      <c r="A191" s="12">
        <v>45524.0</v>
      </c>
      <c r="B191" s="13">
        <v>3753.0</v>
      </c>
      <c r="C191" s="13">
        <v>17.22</v>
      </c>
      <c r="D191" s="13">
        <v>12985.0</v>
      </c>
      <c r="E191" s="4">
        <f t="shared" ref="E191:G191" si="570">LN(B191/B190)</f>
        <v>0.007354449141</v>
      </c>
      <c r="F191" s="4">
        <f t="shared" si="570"/>
        <v>-0.003478264376</v>
      </c>
      <c r="G191" s="4">
        <f t="shared" si="570"/>
        <v>0.02195665907</v>
      </c>
      <c r="H191" s="4">
        <f t="shared" si="2"/>
        <v>5529.2226</v>
      </c>
      <c r="I191" s="4">
        <f t="shared" si="6"/>
        <v>0.01864094217</v>
      </c>
      <c r="J191" s="4">
        <f t="shared" si="7"/>
        <v>0.01857567985</v>
      </c>
      <c r="K191" s="4">
        <f t="shared" si="8"/>
        <v>0.000000004259170158</v>
      </c>
      <c r="L191" s="14">
        <v>2772.71</v>
      </c>
      <c r="M191" s="4">
        <f t="shared" si="3"/>
        <v>10863.93714</v>
      </c>
      <c r="N191" s="4"/>
      <c r="O191" s="4"/>
      <c r="P191" s="4"/>
      <c r="Q191" s="4">
        <f t="shared" ref="Q191:S191" si="571">IF(E190=0,0,(E191-E190)/E190)</f>
        <v>-1.540904191</v>
      </c>
      <c r="R191" s="4">
        <f t="shared" si="571"/>
        <v>-1.351813346</v>
      </c>
      <c r="S191" s="4">
        <f t="shared" si="571"/>
        <v>8.950283355</v>
      </c>
      <c r="T191" s="15">
        <v>2768.42</v>
      </c>
      <c r="U191" s="4"/>
      <c r="V191" s="4"/>
      <c r="W191" s="4"/>
      <c r="X191" s="4"/>
      <c r="Y191" s="4">
        <f t="shared" ref="Y191:Z191" si="572">(L191-L190)/L190</f>
        <v>-0.001911433323</v>
      </c>
      <c r="Z191" s="4">
        <f t="shared" si="572"/>
        <v>0.02104586565</v>
      </c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</row>
    <row r="192" ht="14.25" customHeight="1">
      <c r="A192" s="7">
        <v>45525.0</v>
      </c>
      <c r="B192" s="8">
        <v>3836.5</v>
      </c>
      <c r="C192" s="8">
        <v>17.12</v>
      </c>
      <c r="D192" s="8">
        <v>12987.0</v>
      </c>
      <c r="E192" s="4">
        <f t="shared" ref="E192:G192" si="573">LN(B192/B191)</f>
        <v>0.02200497248</v>
      </c>
      <c r="F192" s="4">
        <f t="shared" si="573"/>
        <v>-0.005824128286</v>
      </c>
      <c r="G192" s="4">
        <f t="shared" si="573"/>
        <v>0.0001540120132</v>
      </c>
      <c r="H192" s="4">
        <f t="shared" si="2"/>
        <v>5557.4046</v>
      </c>
      <c r="I192" s="4">
        <f t="shared" si="6"/>
        <v>0.005083973727</v>
      </c>
      <c r="J192" s="4">
        <f t="shared" si="7"/>
        <v>0.004979879405</v>
      </c>
      <c r="K192" s="4">
        <f t="shared" si="8"/>
        <v>0.00000001083562775</v>
      </c>
      <c r="L192" s="9">
        <v>2772.4</v>
      </c>
      <c r="M192" s="4">
        <f t="shared" si="3"/>
        <v>10884.04381</v>
      </c>
      <c r="N192" s="4"/>
      <c r="O192" s="4"/>
      <c r="P192" s="4"/>
      <c r="Q192" s="4">
        <f t="shared" ref="Q192:S192" si="574">IF(E191=0,0,(E192-E191)/E191)</f>
        <v>1.992062636</v>
      </c>
      <c r="R192" s="4">
        <f t="shared" si="574"/>
        <v>0.6744351941</v>
      </c>
      <c r="S192" s="4">
        <f t="shared" si="574"/>
        <v>-0.9929856353</v>
      </c>
      <c r="T192" s="11">
        <v>2768.14</v>
      </c>
      <c r="U192" s="4"/>
      <c r="V192" s="4"/>
      <c r="W192" s="4"/>
      <c r="X192" s="4"/>
      <c r="Y192" s="4">
        <f t="shared" ref="Y192:Z192" si="575">(L192-L191)/L191</f>
        <v>-0.0001118039752</v>
      </c>
      <c r="Z192" s="4">
        <f t="shared" si="575"/>
        <v>0.001850771218</v>
      </c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</row>
    <row r="193" ht="14.25" customHeight="1">
      <c r="A193" s="12">
        <v>45526.0</v>
      </c>
      <c r="B193" s="13">
        <v>3794.0</v>
      </c>
      <c r="C193" s="13">
        <v>17.17</v>
      </c>
      <c r="D193" s="13">
        <v>12614.5</v>
      </c>
      <c r="E193" s="4">
        <f t="shared" ref="E193:G193" si="576">LN(B193/B192)</f>
        <v>-0.01113962112</v>
      </c>
      <c r="F193" s="4">
        <f t="shared" si="576"/>
        <v>0.002916304196</v>
      </c>
      <c r="G193" s="4">
        <f t="shared" si="576"/>
        <v>-0.02910191118</v>
      </c>
      <c r="H193" s="4">
        <f t="shared" si="2"/>
        <v>5420.4711</v>
      </c>
      <c r="I193" s="4">
        <f t="shared" si="6"/>
        <v>-0.02494847022</v>
      </c>
      <c r="J193" s="4">
        <f t="shared" si="7"/>
        <v>-0.02493906985</v>
      </c>
      <c r="K193" s="4">
        <f t="shared" si="8"/>
        <v>0</v>
      </c>
      <c r="L193" s="14">
        <v>2726.81</v>
      </c>
      <c r="M193" s="4">
        <f t="shared" si="3"/>
        <v>10586.87932</v>
      </c>
      <c r="N193" s="4"/>
      <c r="O193" s="4"/>
      <c r="P193" s="4"/>
      <c r="Q193" s="4">
        <f t="shared" ref="Q193:S193" si="577">IF(E192=0,0,(E193-E192)/E192)</f>
        <v>-1.506231995</v>
      </c>
      <c r="R193" s="4">
        <f t="shared" si="577"/>
        <v>-1.500728015</v>
      </c>
      <c r="S193" s="4">
        <f t="shared" si="577"/>
        <v>-189.9587089</v>
      </c>
      <c r="T193" s="15">
        <v>2725.75</v>
      </c>
      <c r="U193" s="4"/>
      <c r="V193" s="4"/>
      <c r="W193" s="4"/>
      <c r="X193" s="4"/>
      <c r="Y193" s="4">
        <f t="shared" ref="Y193:Z193" si="578">(L193-L192)/L192</f>
        <v>-0.01644423604</v>
      </c>
      <c r="Z193" s="4">
        <f t="shared" si="578"/>
        <v>-0.0273027646</v>
      </c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</row>
    <row r="194" ht="14.25" customHeight="1">
      <c r="A194" s="7">
        <v>45527.0</v>
      </c>
      <c r="B194" s="8">
        <v>3807.0</v>
      </c>
      <c r="C194" s="8">
        <v>17.4</v>
      </c>
      <c r="D194" s="8">
        <v>12745.0</v>
      </c>
      <c r="E194" s="4">
        <f t="shared" ref="E194:G194" si="579">LN(B194/B193)</f>
        <v>0.003420605888</v>
      </c>
      <c r="F194" s="4">
        <f t="shared" si="579"/>
        <v>0.01330653131</v>
      </c>
      <c r="G194" s="4">
        <f t="shared" si="579"/>
        <v>0.01029209188</v>
      </c>
      <c r="H194" s="4">
        <f t="shared" si="2"/>
        <v>5467.902</v>
      </c>
      <c r="I194" s="4">
        <f t="shared" si="6"/>
        <v>0.00871226575</v>
      </c>
      <c r="J194" s="4">
        <f t="shared" si="7"/>
        <v>0.008780512787</v>
      </c>
      <c r="K194" s="4">
        <f t="shared" si="8"/>
        <v>0.00000000465765816</v>
      </c>
      <c r="L194" s="9">
        <v>2662.58</v>
      </c>
      <c r="M194" s="4">
        <f t="shared" si="3"/>
        <v>10690.56793</v>
      </c>
      <c r="N194" s="4"/>
      <c r="O194" s="4"/>
      <c r="P194" s="4"/>
      <c r="Q194" s="4">
        <f t="shared" ref="Q194:S194" si="580">IF(E193=0,0,(E194-E193)/E193)</f>
        <v>-1.307066627</v>
      </c>
      <c r="R194" s="4">
        <f t="shared" si="580"/>
        <v>3.562806353</v>
      </c>
      <c r="S194" s="4">
        <f t="shared" si="580"/>
        <v>-1.353656906</v>
      </c>
      <c r="T194" s="11">
        <v>2662.47</v>
      </c>
      <c r="U194" s="4"/>
      <c r="V194" s="4"/>
      <c r="W194" s="4"/>
      <c r="X194" s="4"/>
      <c r="Y194" s="4">
        <f t="shared" ref="Y194:Z194" si="581">(L194-L193)/L193</f>
        <v>-0.0235549965</v>
      </c>
      <c r="Z194" s="4">
        <f t="shared" si="581"/>
        <v>0.009794067537</v>
      </c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</row>
    <row r="195" ht="14.25" customHeight="1">
      <c r="A195" s="12">
        <v>45530.0</v>
      </c>
      <c r="B195" s="13">
        <v>3913.5</v>
      </c>
      <c r="C195" s="13">
        <v>17.4</v>
      </c>
      <c r="D195" s="13">
        <v>12949.0</v>
      </c>
      <c r="E195" s="4">
        <f t="shared" ref="E195:G195" si="582">LN(B195/B194)</f>
        <v>0.02759063686</v>
      </c>
      <c r="F195" s="4">
        <f t="shared" si="582"/>
        <v>0</v>
      </c>
      <c r="G195" s="4">
        <f t="shared" si="582"/>
        <v>0.01587952726</v>
      </c>
      <c r="H195" s="4">
        <f t="shared" si="2"/>
        <v>5570.367</v>
      </c>
      <c r="I195" s="4">
        <f t="shared" si="6"/>
        <v>0.01856594421</v>
      </c>
      <c r="J195" s="4">
        <f t="shared" si="7"/>
        <v>0.01839876952</v>
      </c>
      <c r="K195" s="4">
        <f t="shared" si="8"/>
        <v>0.00000002794737923</v>
      </c>
      <c r="L195" s="14">
        <v>2763.21</v>
      </c>
      <c r="M195" s="4">
        <f t="shared" si="3"/>
        <v>10871.81174</v>
      </c>
      <c r="N195" s="4"/>
      <c r="O195" s="4"/>
      <c r="P195" s="4"/>
      <c r="Q195" s="4">
        <f t="shared" ref="Q195:S195" si="583">IF(E194=0,0,(E195-E194)/E194)</f>
        <v>7.066008704</v>
      </c>
      <c r="R195" s="4">
        <f t="shared" si="583"/>
        <v>-1</v>
      </c>
      <c r="S195" s="4">
        <f t="shared" si="583"/>
        <v>0.5428862714</v>
      </c>
      <c r="T195" s="15">
        <v>2763.75</v>
      </c>
      <c r="U195" s="4"/>
      <c r="V195" s="4"/>
      <c r="W195" s="4"/>
      <c r="X195" s="4"/>
      <c r="Y195" s="4">
        <f t="shared" ref="Y195:Z195" si="584">(L195-L194)/L194</f>
        <v>0.03779416956</v>
      </c>
      <c r="Z195" s="4">
        <f t="shared" si="584"/>
        <v>0.0169536183</v>
      </c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</row>
    <row r="196" ht="14.25" customHeight="1">
      <c r="A196" s="7">
        <v>45531.0</v>
      </c>
      <c r="B196" s="8">
        <v>3844.0</v>
      </c>
      <c r="C196" s="8">
        <v>17.42</v>
      </c>
      <c r="D196" s="8">
        <v>12952.5</v>
      </c>
      <c r="E196" s="4">
        <f t="shared" ref="E196:G196" si="585">LN(B196/B195)</f>
        <v>-0.01791862315</v>
      </c>
      <c r="F196" s="4">
        <f t="shared" si="585"/>
        <v>0.001148765204</v>
      </c>
      <c r="G196" s="4">
        <f t="shared" si="585"/>
        <v>0.0002702546201</v>
      </c>
      <c r="H196" s="4">
        <f t="shared" si="2"/>
        <v>5548.5936</v>
      </c>
      <c r="I196" s="4">
        <f t="shared" si="6"/>
        <v>-0.003916450218</v>
      </c>
      <c r="J196" s="4">
        <f t="shared" si="7"/>
        <v>-0.00376855251</v>
      </c>
      <c r="K196" s="4">
        <f t="shared" si="8"/>
        <v>0.00000002187373206</v>
      </c>
      <c r="L196" s="9">
        <v>2733.58</v>
      </c>
      <c r="M196" s="4">
        <f t="shared" si="3"/>
        <v>10859.06508</v>
      </c>
      <c r="N196" s="4"/>
      <c r="O196" s="4"/>
      <c r="P196" s="4"/>
      <c r="Q196" s="4">
        <f t="shared" ref="Q196:S196" si="586">IF(E195=0,0,(E196-E195)/E195)</f>
        <v>-1.649445797</v>
      </c>
      <c r="R196" s="4">
        <f t="shared" si="586"/>
        <v>0</v>
      </c>
      <c r="S196" s="4">
        <f t="shared" si="586"/>
        <v>-0.9829809404</v>
      </c>
      <c r="T196" s="11">
        <v>2730.38</v>
      </c>
      <c r="U196" s="4"/>
      <c r="V196" s="4"/>
      <c r="W196" s="4"/>
      <c r="X196" s="4"/>
      <c r="Y196" s="4">
        <f t="shared" ref="Y196:Z196" si="587">(L196-L195)/L195</f>
        <v>-0.01072303589</v>
      </c>
      <c r="Z196" s="4">
        <f t="shared" si="587"/>
        <v>-0.001172450317</v>
      </c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</row>
    <row r="197" ht="14.25" customHeight="1">
      <c r="A197" s="12">
        <v>45532.0</v>
      </c>
      <c r="B197" s="13">
        <v>3892.5</v>
      </c>
      <c r="C197" s="13">
        <v>17.63</v>
      </c>
      <c r="D197" s="13">
        <v>12579.5</v>
      </c>
      <c r="E197" s="4">
        <f t="shared" ref="E197:G197" si="588">LN(B197/B196)</f>
        <v>0.01253813362</v>
      </c>
      <c r="F197" s="4">
        <f t="shared" si="588"/>
        <v>0.01198302499</v>
      </c>
      <c r="G197" s="4">
        <f t="shared" si="588"/>
        <v>-0.02922031485</v>
      </c>
      <c r="H197" s="4">
        <f t="shared" si="2"/>
        <v>5441.5779</v>
      </c>
      <c r="I197" s="4">
        <f t="shared" si="6"/>
        <v>-0.01947541628</v>
      </c>
      <c r="J197" s="4">
        <f t="shared" si="7"/>
        <v>-0.01971879066</v>
      </c>
      <c r="K197" s="4">
        <f t="shared" si="8"/>
        <v>0.00000005923108872</v>
      </c>
      <c r="L197" s="14">
        <v>2701.69</v>
      </c>
      <c r="M197" s="4">
        <f t="shared" si="3"/>
        <v>10581.74493</v>
      </c>
      <c r="N197" s="4"/>
      <c r="O197" s="4"/>
      <c r="P197" s="4"/>
      <c r="Q197" s="4">
        <f t="shared" ref="Q197:S197" si="589">IF(E196=0,0,(E197-E196)/E196)</f>
        <v>-1.699726397</v>
      </c>
      <c r="R197" s="4">
        <f t="shared" si="589"/>
        <v>9.431222103</v>
      </c>
      <c r="S197" s="4">
        <f t="shared" si="589"/>
        <v>-109.1214258</v>
      </c>
      <c r="T197" s="15">
        <v>2699.98</v>
      </c>
      <c r="U197" s="4"/>
      <c r="V197" s="4"/>
      <c r="W197" s="4"/>
      <c r="X197" s="4"/>
      <c r="Y197" s="4">
        <f t="shared" ref="Y197:Z197" si="590">(L197-L196)/L196</f>
        <v>-0.01166602038</v>
      </c>
      <c r="Z197" s="4">
        <f t="shared" si="590"/>
        <v>-0.02553812385</v>
      </c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</row>
    <row r="198" ht="14.25" customHeight="1">
      <c r="A198" s="7">
        <v>45533.0</v>
      </c>
      <c r="B198" s="8">
        <v>3926.0</v>
      </c>
      <c r="C198" s="8">
        <v>17.84</v>
      </c>
      <c r="D198" s="8">
        <v>12484.5</v>
      </c>
      <c r="E198" s="4">
        <f t="shared" ref="E198:G198" si="591">LN(B198/B197)</f>
        <v>0.008569471128</v>
      </c>
      <c r="F198" s="4">
        <f t="shared" si="591"/>
        <v>0.01184113074</v>
      </c>
      <c r="G198" s="4">
        <f t="shared" si="591"/>
        <v>-0.007580629982</v>
      </c>
      <c r="H198" s="4">
        <f t="shared" si="2"/>
        <v>5421.3522</v>
      </c>
      <c r="I198" s="4">
        <f t="shared" si="6"/>
        <v>-0.003723806226</v>
      </c>
      <c r="J198" s="4">
        <f t="shared" si="7"/>
        <v>-0.003887427428</v>
      </c>
      <c r="K198" s="4">
        <f t="shared" si="8"/>
        <v>0.00000002677189763</v>
      </c>
      <c r="L198" s="9">
        <v>2708.38</v>
      </c>
      <c r="M198" s="4">
        <f t="shared" si="3"/>
        <v>10515.81579</v>
      </c>
      <c r="N198" s="4"/>
      <c r="O198" s="4"/>
      <c r="P198" s="4"/>
      <c r="Q198" s="4">
        <f t="shared" ref="Q198:S198" si="592">IF(E197=0,0,(E198-E197)/E197)</f>
        <v>-0.3165273725</v>
      </c>
      <c r="R198" s="4">
        <f t="shared" si="592"/>
        <v>-0.01184127076</v>
      </c>
      <c r="S198" s="4">
        <f t="shared" si="592"/>
        <v>-0.7405698734</v>
      </c>
      <c r="T198" s="11">
        <v>2708.27</v>
      </c>
      <c r="U198" s="4"/>
      <c r="V198" s="4"/>
      <c r="W198" s="4"/>
      <c r="X198" s="4"/>
      <c r="Y198" s="4">
        <f t="shared" ref="Y198:Z198" si="593">(L198-L197)/L197</f>
        <v>0.002476227843</v>
      </c>
      <c r="Z198" s="4">
        <f t="shared" si="593"/>
        <v>-0.006230460033</v>
      </c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</row>
    <row r="199" ht="14.25" customHeight="1">
      <c r="A199" s="12">
        <v>45534.0</v>
      </c>
      <c r="B199" s="13">
        <v>3765.5</v>
      </c>
      <c r="C199" s="13">
        <v>17.91</v>
      </c>
      <c r="D199" s="13">
        <v>12000.0</v>
      </c>
      <c r="E199" s="4">
        <f t="shared" ref="E199:G199" si="594">LN(B199/B198)</f>
        <v>-0.0417404413</v>
      </c>
      <c r="F199" s="4">
        <f t="shared" si="594"/>
        <v>0.003916088921</v>
      </c>
      <c r="G199" s="4">
        <f t="shared" si="594"/>
        <v>-0.03958122508</v>
      </c>
      <c r="H199" s="4">
        <f t="shared" si="2"/>
        <v>5208.5253</v>
      </c>
      <c r="I199" s="4">
        <f t="shared" si="6"/>
        <v>-0.04004850386</v>
      </c>
      <c r="J199" s="4">
        <f t="shared" si="7"/>
        <v>-0.03983062221</v>
      </c>
      <c r="K199" s="4">
        <f t="shared" si="8"/>
        <v>0.00000004747241231</v>
      </c>
      <c r="L199" s="14">
        <v>2649.96</v>
      </c>
      <c r="M199" s="4">
        <f t="shared" si="3"/>
        <v>10105.91137</v>
      </c>
      <c r="N199" s="4"/>
      <c r="O199" s="4"/>
      <c r="P199" s="4"/>
      <c r="Q199" s="4">
        <f t="shared" ref="Q199:S199" si="595">IF(E198=0,0,(E199-E198)/E198)</f>
        <v>-5.870830495</v>
      </c>
      <c r="R199" s="4">
        <f t="shared" si="595"/>
        <v>-0.6692808309</v>
      </c>
      <c r="S199" s="4">
        <f t="shared" si="595"/>
        <v>4.221363551</v>
      </c>
      <c r="T199" s="15">
        <v>2650.32</v>
      </c>
      <c r="U199" s="4"/>
      <c r="V199" s="4"/>
      <c r="W199" s="4"/>
      <c r="X199" s="4"/>
      <c r="Y199" s="4">
        <f t="shared" ref="Y199:Z199" si="596">(L199-L198)/L198</f>
        <v>-0.02157008987</v>
      </c>
      <c r="Z199" s="4">
        <f t="shared" si="596"/>
        <v>-0.03897980272</v>
      </c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</row>
    <row r="200" ht="14.25" customHeight="1">
      <c r="A200" s="7">
        <v>45537.0</v>
      </c>
      <c r="B200" s="8">
        <v>3620.5</v>
      </c>
      <c r="C200" s="8">
        <v>18.12</v>
      </c>
      <c r="D200" s="8">
        <v>11539.0</v>
      </c>
      <c r="E200" s="4">
        <f t="shared" ref="E200:G200" si="597">LN(B200/B199)</f>
        <v>-0.03926851671</v>
      </c>
      <c r="F200" s="4">
        <f t="shared" si="597"/>
        <v>0.01165708454</v>
      </c>
      <c r="G200" s="4">
        <f t="shared" si="597"/>
        <v>-0.03917404758</v>
      </c>
      <c r="H200" s="4">
        <f t="shared" si="2"/>
        <v>5008.6146</v>
      </c>
      <c r="I200" s="4">
        <f t="shared" si="6"/>
        <v>-0.03913741397</v>
      </c>
      <c r="J200" s="4">
        <f t="shared" si="7"/>
        <v>-0.03892556163</v>
      </c>
      <c r="K200" s="4">
        <f t="shared" si="8"/>
        <v>0.00000004488141322</v>
      </c>
      <c r="L200" s="9">
        <v>2547.02</v>
      </c>
      <c r="M200" s="4">
        <f t="shared" si="3"/>
        <v>9717.604663</v>
      </c>
      <c r="N200" s="4"/>
      <c r="O200" s="4"/>
      <c r="P200" s="4"/>
      <c r="Q200" s="4">
        <f t="shared" ref="Q200:S200" si="598">IF(E199=0,0,(E200-E199)/E199)</f>
        <v>-0.05922133321</v>
      </c>
      <c r="R200" s="4">
        <f t="shared" si="598"/>
        <v>1.976715999</v>
      </c>
      <c r="S200" s="4">
        <f t="shared" si="598"/>
        <v>-0.0102871376</v>
      </c>
      <c r="T200" s="11">
        <v>2545.07</v>
      </c>
      <c r="U200" s="4"/>
      <c r="V200" s="4"/>
      <c r="W200" s="4"/>
      <c r="X200" s="4"/>
      <c r="Y200" s="4">
        <f t="shared" ref="Y200:Z200" si="599">(L200-L199)/L199</f>
        <v>-0.03884586937</v>
      </c>
      <c r="Z200" s="4">
        <f t="shared" si="599"/>
        <v>-0.03842371959</v>
      </c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</row>
    <row r="201" ht="14.25" customHeight="1">
      <c r="A201" s="12">
        <v>45538.0</v>
      </c>
      <c r="B201" s="13">
        <v>3652.0</v>
      </c>
      <c r="C201" s="13">
        <v>17.56</v>
      </c>
      <c r="D201" s="13">
        <v>11517.0</v>
      </c>
      <c r="E201" s="4">
        <f t="shared" ref="E201:G201" si="600">LN(B201/B200)</f>
        <v>0.008662824886</v>
      </c>
      <c r="F201" s="4">
        <f t="shared" si="600"/>
        <v>-0.03139271241</v>
      </c>
      <c r="G201" s="4">
        <f t="shared" si="600"/>
        <v>-0.001908397526</v>
      </c>
      <c r="H201" s="4">
        <f t="shared" si="2"/>
        <v>5011.5648</v>
      </c>
      <c r="I201" s="4">
        <f t="shared" si="6"/>
        <v>0.0005888517495</v>
      </c>
      <c r="J201" s="4">
        <f t="shared" si="7"/>
        <v>0.0002853156997</v>
      </c>
      <c r="K201" s="4">
        <f t="shared" si="8"/>
        <v>0.00000009213413354</v>
      </c>
      <c r="L201" s="14">
        <v>2526.97</v>
      </c>
      <c r="M201" s="4">
        <f t="shared" si="3"/>
        <v>9707.611606</v>
      </c>
      <c r="N201" s="4"/>
      <c r="O201" s="4"/>
      <c r="P201" s="4"/>
      <c r="Q201" s="4">
        <f t="shared" ref="Q201:S201" si="601">IF(E200=0,0,(E201-E200)/E200)</f>
        <v>-1.220604841</v>
      </c>
      <c r="R201" s="4">
        <f t="shared" si="601"/>
        <v>-3.693015762</v>
      </c>
      <c r="S201" s="4">
        <f t="shared" si="601"/>
        <v>-0.9512841372</v>
      </c>
      <c r="T201" s="15">
        <v>2524.38</v>
      </c>
      <c r="U201" s="4"/>
      <c r="V201" s="4"/>
      <c r="W201" s="4"/>
      <c r="X201" s="4"/>
      <c r="Y201" s="4">
        <f t="shared" ref="Y201:Z201" si="602">(L201-L200)/L200</f>
        <v>-0.007871944468</v>
      </c>
      <c r="Z201" s="4">
        <f t="shared" si="602"/>
        <v>-0.001028345666</v>
      </c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</row>
    <row r="202" ht="14.25" customHeight="1">
      <c r="A202" s="7">
        <v>45539.0</v>
      </c>
      <c r="B202" s="8">
        <v>3737.0</v>
      </c>
      <c r="C202" s="8">
        <v>17.71</v>
      </c>
      <c r="D202" s="8">
        <v>11903.0</v>
      </c>
      <c r="E202" s="4">
        <f t="shared" ref="E202:G202" si="603">LN(B202/B201)</f>
        <v>0.02300818777</v>
      </c>
      <c r="F202" s="4">
        <f t="shared" si="603"/>
        <v>0.008505863588</v>
      </c>
      <c r="G202" s="4">
        <f t="shared" si="603"/>
        <v>0.0329662645</v>
      </c>
      <c r="H202" s="4">
        <f t="shared" si="2"/>
        <v>5167.0443</v>
      </c>
      <c r="I202" s="4">
        <f t="shared" si="6"/>
        <v>0.03055262125</v>
      </c>
      <c r="J202" s="4">
        <f t="shared" si="7"/>
        <v>0.03062286231</v>
      </c>
      <c r="K202" s="4">
        <f t="shared" si="8"/>
        <v>0.000000004933807188</v>
      </c>
      <c r="L202" s="9">
        <v>2603.97</v>
      </c>
      <c r="M202" s="4">
        <f t="shared" si="3"/>
        <v>10024.6524</v>
      </c>
      <c r="N202" s="4"/>
      <c r="O202" s="4"/>
      <c r="P202" s="4"/>
      <c r="Q202" s="4">
        <f t="shared" ref="Q202:S202" si="604">IF(E201=0,0,(E202-E201)/E201)</f>
        <v>1.655968241</v>
      </c>
      <c r="R202" s="4">
        <f t="shared" si="604"/>
        <v>-1.27095026</v>
      </c>
      <c r="S202" s="4">
        <f t="shared" si="604"/>
        <v>-18.27431735</v>
      </c>
      <c r="T202" s="11">
        <v>2605.15</v>
      </c>
      <c r="U202" s="4"/>
      <c r="V202" s="4"/>
      <c r="W202" s="4"/>
      <c r="X202" s="4"/>
      <c r="Y202" s="4">
        <f t="shared" ref="Y202:Z202" si="605">(L202-L201)/L201</f>
        <v>0.03047127588</v>
      </c>
      <c r="Z202" s="4">
        <f t="shared" si="605"/>
        <v>0.03265899074</v>
      </c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</row>
    <row r="203" ht="14.25" customHeight="1">
      <c r="A203" s="12">
        <v>45540.0</v>
      </c>
      <c r="B203" s="13">
        <v>3679.5</v>
      </c>
      <c r="C203" s="13">
        <v>17.99</v>
      </c>
      <c r="D203" s="13">
        <v>11995.5</v>
      </c>
      <c r="E203" s="4">
        <f t="shared" ref="E203:G203" si="606">LN(B203/B202)</f>
        <v>-0.01550627712</v>
      </c>
      <c r="F203" s="4">
        <f t="shared" si="606"/>
        <v>0.01568659617</v>
      </c>
      <c r="G203" s="4">
        <f t="shared" si="606"/>
        <v>0.007741110272</v>
      </c>
      <c r="H203" s="4">
        <f t="shared" si="2"/>
        <v>5178.6867</v>
      </c>
      <c r="I203" s="4">
        <f t="shared" si="6"/>
        <v>0.002250668399</v>
      </c>
      <c r="J203" s="4">
        <f t="shared" si="7"/>
        <v>0.002615241354</v>
      </c>
      <c r="K203" s="4">
        <f t="shared" si="8"/>
        <v>0.0000001329134391</v>
      </c>
      <c r="L203" s="14">
        <v>2623.84</v>
      </c>
      <c r="M203" s="4">
        <f t="shared" si="3"/>
        <v>10083.31785</v>
      </c>
      <c r="N203" s="4"/>
      <c r="O203" s="4"/>
      <c r="P203" s="4"/>
      <c r="Q203" s="4">
        <f t="shared" ref="Q203:S203" si="607">IF(E202=0,0,(E203-E202)/E202)</f>
        <v>-1.673946044</v>
      </c>
      <c r="R203" s="4">
        <f t="shared" si="607"/>
        <v>0.8442097038</v>
      </c>
      <c r="S203" s="4">
        <f t="shared" si="607"/>
        <v>-0.7651808481</v>
      </c>
      <c r="T203" s="15">
        <v>2621.62</v>
      </c>
      <c r="U203" s="4"/>
      <c r="V203" s="4"/>
      <c r="W203" s="4"/>
      <c r="X203" s="4"/>
      <c r="Y203" s="4">
        <f t="shared" ref="Y203:Z203" si="608">(L203-L202)/L202</f>
        <v>0.007630656267</v>
      </c>
      <c r="Z203" s="4">
        <f t="shared" si="608"/>
        <v>0.005852118075</v>
      </c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</row>
    <row r="204" ht="14.25" customHeight="1">
      <c r="A204" s="7">
        <v>45541.0</v>
      </c>
      <c r="B204" s="8">
        <v>3715.0</v>
      </c>
      <c r="C204" s="8">
        <v>16.71</v>
      </c>
      <c r="D204" s="8">
        <v>12100.0</v>
      </c>
      <c r="E204" s="4">
        <f t="shared" ref="E204:G204" si="609">LN(B204/B203)</f>
        <v>0.009601804785</v>
      </c>
      <c r="F204" s="4">
        <f t="shared" si="609"/>
        <v>-0.07380870536</v>
      </c>
      <c r="G204" s="4">
        <f t="shared" si="609"/>
        <v>0.008673873145</v>
      </c>
      <c r="H204" s="4">
        <f t="shared" si="2"/>
        <v>5224.4643</v>
      </c>
      <c r="I204" s="4">
        <f t="shared" si="6"/>
        <v>0.008800774971</v>
      </c>
      <c r="J204" s="4">
        <f t="shared" si="7"/>
        <v>0.00844286582</v>
      </c>
      <c r="K204" s="4">
        <f t="shared" si="8"/>
        <v>0.0000001280989604</v>
      </c>
      <c r="L204" s="9">
        <v>2625.11</v>
      </c>
      <c r="M204" s="4">
        <f t="shared" si="3"/>
        <v>10171.91806</v>
      </c>
      <c r="N204" s="4"/>
      <c r="O204" s="4"/>
      <c r="P204" s="4"/>
      <c r="Q204" s="4">
        <f t="shared" ref="Q204:S204" si="610">IF(E203=0,0,(E204-E203)/E203)</f>
        <v>-1.619220507</v>
      </c>
      <c r="R204" s="4">
        <f t="shared" si="610"/>
        <v>-5.705208483</v>
      </c>
      <c r="S204" s="4">
        <f t="shared" si="610"/>
        <v>0.1204947146</v>
      </c>
      <c r="T204" s="11">
        <v>2623.37</v>
      </c>
      <c r="U204" s="4"/>
      <c r="V204" s="4"/>
      <c r="W204" s="4"/>
      <c r="X204" s="4"/>
      <c r="Y204" s="4">
        <f t="shared" ref="Y204:Z204" si="611">(L204-L203)/L203</f>
        <v>0.0004840234161</v>
      </c>
      <c r="Z204" s="4">
        <f t="shared" si="611"/>
        <v>0.008786810495</v>
      </c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</row>
    <row r="205" ht="14.25" customHeight="1">
      <c r="A205" s="12">
        <v>45544.0</v>
      </c>
      <c r="B205" s="13">
        <v>3883.5</v>
      </c>
      <c r="C205" s="13">
        <v>16.97</v>
      </c>
      <c r="D205" s="13">
        <v>12546.0</v>
      </c>
      <c r="E205" s="4">
        <f t="shared" ref="E205:G205" si="612">LN(B205/B204)</f>
        <v>0.04435813071</v>
      </c>
      <c r="F205" s="4">
        <f t="shared" si="612"/>
        <v>0.01543973664</v>
      </c>
      <c r="G205" s="4">
        <f t="shared" si="612"/>
        <v>0.03619643707</v>
      </c>
      <c r="H205" s="4">
        <f t="shared" si="2"/>
        <v>5427.3351</v>
      </c>
      <c r="I205" s="4">
        <f t="shared" si="6"/>
        <v>0.03809597372</v>
      </c>
      <c r="J205" s="4">
        <f t="shared" si="7"/>
        <v>0.03790077224</v>
      </c>
      <c r="K205" s="4">
        <f t="shared" si="8"/>
        <v>0.00000003810361601</v>
      </c>
      <c r="L205" s="14">
        <v>2703.17</v>
      </c>
      <c r="M205" s="4">
        <f t="shared" si="3"/>
        <v>10553.86549</v>
      </c>
      <c r="N205" s="4"/>
      <c r="O205" s="4"/>
      <c r="P205" s="4"/>
      <c r="Q205" s="4">
        <f t="shared" ref="Q205:S205" si="613">IF(E204=0,0,(E205-E204)/E204)</f>
        <v>3.619770106</v>
      </c>
      <c r="R205" s="4">
        <f t="shared" si="613"/>
        <v>-1.209185848</v>
      </c>
      <c r="S205" s="4">
        <f t="shared" si="613"/>
        <v>3.173042016</v>
      </c>
      <c r="T205" s="15">
        <v>2703.17</v>
      </c>
      <c r="U205" s="4"/>
      <c r="V205" s="4"/>
      <c r="W205" s="4"/>
      <c r="X205" s="4"/>
      <c r="Y205" s="4">
        <f t="shared" ref="Y205:Z205" si="614">(L205-L204)/L204</f>
        <v>0.02973589678</v>
      </c>
      <c r="Z205" s="4">
        <f t="shared" si="614"/>
        <v>0.03754920475</v>
      </c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</row>
    <row r="206" ht="14.25" customHeight="1">
      <c r="A206" s="7">
        <v>45545.0</v>
      </c>
      <c r="B206" s="8">
        <v>3825.0</v>
      </c>
      <c r="C206" s="8">
        <v>16.74</v>
      </c>
      <c r="D206" s="8">
        <v>12481.0</v>
      </c>
      <c r="E206" s="4">
        <f t="shared" ref="E206:G206" si="615">LN(B206/B205)</f>
        <v>-0.0151783416</v>
      </c>
      <c r="F206" s="4">
        <f t="shared" si="615"/>
        <v>-0.01364601418</v>
      </c>
      <c r="G206" s="4">
        <f t="shared" si="615"/>
        <v>-0.005194401738</v>
      </c>
      <c r="H206" s="4">
        <f t="shared" si="2"/>
        <v>5386.5042</v>
      </c>
      <c r="I206" s="4">
        <f t="shared" si="6"/>
        <v>-0.007551636918</v>
      </c>
      <c r="J206" s="4">
        <f t="shared" si="7"/>
        <v>-0.007458681054</v>
      </c>
      <c r="K206" s="4">
        <f t="shared" si="8"/>
        <v>0.00000000864079252</v>
      </c>
      <c r="L206" s="9">
        <v>2671.38</v>
      </c>
      <c r="M206" s="4">
        <f t="shared" si="3"/>
        <v>10490.65385</v>
      </c>
      <c r="N206" s="4"/>
      <c r="O206" s="4"/>
      <c r="P206" s="4"/>
      <c r="Q206" s="4">
        <f t="shared" ref="Q206:S206" si="616">IF(E205=0,0,(E206-E205)/E205)</f>
        <v>-1.342177214</v>
      </c>
      <c r="R206" s="4">
        <f t="shared" si="616"/>
        <v>-1.883824284</v>
      </c>
      <c r="S206" s="4">
        <f t="shared" si="616"/>
        <v>-1.143505885</v>
      </c>
      <c r="T206" s="11">
        <v>2671.38</v>
      </c>
      <c r="U206" s="4"/>
      <c r="V206" s="4"/>
      <c r="W206" s="4"/>
      <c r="X206" s="4"/>
      <c r="Y206" s="4">
        <f t="shared" ref="Y206:Z206" si="617">(L206-L205)/L205</f>
        <v>-0.01176026665</v>
      </c>
      <c r="Z206" s="4">
        <f t="shared" si="617"/>
        <v>-0.005989429865</v>
      </c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</row>
    <row r="207" ht="14.25" customHeight="1">
      <c r="A207" s="12">
        <v>45546.0</v>
      </c>
      <c r="B207" s="13">
        <v>3782.0</v>
      </c>
      <c r="C207" s="13">
        <v>16.67</v>
      </c>
      <c r="D207" s="13">
        <v>12446.0</v>
      </c>
      <c r="E207" s="4">
        <f t="shared" ref="E207:G207" si="618">LN(B207/B206)</f>
        <v>-0.01130549704</v>
      </c>
      <c r="F207" s="4">
        <f t="shared" si="618"/>
        <v>-0.004190368299</v>
      </c>
      <c r="G207" s="4">
        <f t="shared" si="618"/>
        <v>-0.002808201789</v>
      </c>
      <c r="H207" s="4">
        <f t="shared" si="2"/>
        <v>5360.7411</v>
      </c>
      <c r="I207" s="4">
        <f t="shared" si="6"/>
        <v>-0.004794372629</v>
      </c>
      <c r="J207" s="4">
        <f t="shared" si="7"/>
        <v>-0.00470451426</v>
      </c>
      <c r="K207" s="4">
        <f t="shared" si="8"/>
        <v>0.000000008074526334</v>
      </c>
      <c r="L207" s="14">
        <v>2668.03</v>
      </c>
      <c r="M207" s="4">
        <f t="shared" si="3"/>
        <v>10454.0606</v>
      </c>
      <c r="N207" s="4"/>
      <c r="O207" s="4"/>
      <c r="P207" s="4"/>
      <c r="Q207" s="4">
        <f t="shared" ref="Q207:S207" si="619">IF(E206=0,0,(E207-E206)/E206)</f>
        <v>-0.2551559755</v>
      </c>
      <c r="R207" s="4">
        <f t="shared" si="619"/>
        <v>-0.6929236448</v>
      </c>
      <c r="S207" s="4">
        <f t="shared" si="619"/>
        <v>-0.459379168</v>
      </c>
      <c r="T207" s="15">
        <v>2668.03</v>
      </c>
      <c r="U207" s="4"/>
      <c r="V207" s="4"/>
      <c r="W207" s="4"/>
      <c r="X207" s="4"/>
      <c r="Y207" s="4">
        <f t="shared" ref="Y207:Z207" si="620">(L207-L206)/L206</f>
        <v>-0.001254033496</v>
      </c>
      <c r="Z207" s="4">
        <f t="shared" si="620"/>
        <v>-0.003488176161</v>
      </c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</row>
    <row r="208" ht="14.25" customHeight="1">
      <c r="A208" s="7">
        <v>45547.0</v>
      </c>
      <c r="B208" s="8">
        <v>3828.5</v>
      </c>
      <c r="C208" s="8">
        <v>16.73</v>
      </c>
      <c r="D208" s="8">
        <v>12657.0</v>
      </c>
      <c r="E208" s="4">
        <f t="shared" ref="E208:G208" si="621">LN(B208/B207)</f>
        <v>0.01222011133</v>
      </c>
      <c r="F208" s="4">
        <f t="shared" si="621"/>
        <v>0.003592818236</v>
      </c>
      <c r="G208" s="4">
        <f t="shared" si="621"/>
        <v>0.01681113566</v>
      </c>
      <c r="H208" s="4">
        <f t="shared" si="2"/>
        <v>5445.7359</v>
      </c>
      <c r="I208" s="4">
        <f t="shared" si="6"/>
        <v>0.01573066832</v>
      </c>
      <c r="J208" s="4">
        <f t="shared" si="7"/>
        <v>0.01572045313</v>
      </c>
      <c r="K208" s="4">
        <f t="shared" si="8"/>
        <v>0.0000000001043501538</v>
      </c>
      <c r="L208" s="9">
        <v>2615.0</v>
      </c>
      <c r="M208" s="4">
        <f t="shared" si="3"/>
        <v>10627.37324</v>
      </c>
      <c r="N208" s="4"/>
      <c r="O208" s="4"/>
      <c r="P208" s="4"/>
      <c r="Q208" s="4">
        <f t="shared" ref="Q208:S208" si="622">IF(E207=0,0,(E208-E207)/E207)</f>
        <v>-2.080899963</v>
      </c>
      <c r="R208" s="4">
        <f t="shared" si="622"/>
        <v>-1.857399154</v>
      </c>
      <c r="S208" s="4">
        <f t="shared" si="622"/>
        <v>-6.986441476</v>
      </c>
      <c r="T208" s="11">
        <v>2615.0</v>
      </c>
      <c r="U208" s="4"/>
      <c r="V208" s="4"/>
      <c r="W208" s="4"/>
      <c r="X208" s="4"/>
      <c r="Y208" s="4">
        <f t="shared" ref="Y208:Z208" si="623">(L208-L207)/L207</f>
        <v>-0.01987608835</v>
      </c>
      <c r="Z208" s="4">
        <f t="shared" si="623"/>
        <v>0.01657849877</v>
      </c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</row>
    <row r="209" ht="14.25" customHeight="1">
      <c r="A209" s="12">
        <v>45548.0</v>
      </c>
      <c r="B209" s="13">
        <v>3914.5</v>
      </c>
      <c r="C209" s="13">
        <v>16.99</v>
      </c>
      <c r="D209" s="13">
        <v>12834.5</v>
      </c>
      <c r="E209" s="4">
        <f t="shared" ref="E209:G209" si="624">LN(B209/B208)</f>
        <v>0.02221452579</v>
      </c>
      <c r="F209" s="4">
        <f t="shared" si="624"/>
        <v>0.01542142069</v>
      </c>
      <c r="G209" s="4">
        <f t="shared" si="624"/>
        <v>0.01392643577</v>
      </c>
      <c r="H209" s="4">
        <f t="shared" si="2"/>
        <v>5532.7767</v>
      </c>
      <c r="I209" s="4">
        <f t="shared" si="6"/>
        <v>0.01585690648</v>
      </c>
      <c r="J209" s="4">
        <f t="shared" si="7"/>
        <v>0.01577683915</v>
      </c>
      <c r="K209" s="4">
        <f t="shared" si="8"/>
        <v>0.000000006410776771</v>
      </c>
      <c r="L209" s="14">
        <v>2678.99</v>
      </c>
      <c r="M209" s="4">
        <f t="shared" si="3"/>
        <v>10783.59274</v>
      </c>
      <c r="N209" s="4"/>
      <c r="O209" s="4"/>
      <c r="P209" s="4"/>
      <c r="Q209" s="4">
        <f t="shared" ref="Q209:S209" si="625">IF(E208=0,0,(E209-E208)/E208)</f>
        <v>0.8178660723</v>
      </c>
      <c r="R209" s="4">
        <f t="shared" si="625"/>
        <v>3.292290807</v>
      </c>
      <c r="S209" s="4">
        <f t="shared" si="625"/>
        <v>-0.1715945875</v>
      </c>
      <c r="T209" s="15">
        <v>2678.99</v>
      </c>
      <c r="U209" s="4"/>
      <c r="V209" s="4"/>
      <c r="W209" s="4"/>
      <c r="X209" s="4"/>
      <c r="Y209" s="4">
        <f t="shared" ref="Y209:Z209" si="626">(L209-L208)/L208</f>
        <v>0.02447036329</v>
      </c>
      <c r="Z209" s="4">
        <f t="shared" si="626"/>
        <v>0.01469972883</v>
      </c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</row>
    <row r="210" ht="14.25" customHeight="1">
      <c r="A210" s="7">
        <v>45551.0</v>
      </c>
      <c r="B210" s="8">
        <v>4119.0</v>
      </c>
      <c r="C210" s="8">
        <v>17.1</v>
      </c>
      <c r="D210" s="8">
        <v>13273.0</v>
      </c>
      <c r="E210" s="4">
        <f t="shared" ref="E210:G210" si="627">LN(B210/B209)</f>
        <v>0.05092280809</v>
      </c>
      <c r="F210" s="4">
        <f t="shared" si="627"/>
        <v>0.006453527825</v>
      </c>
      <c r="G210" s="4">
        <f t="shared" si="627"/>
        <v>0.03359503906</v>
      </c>
      <c r="H210" s="4">
        <f t="shared" si="2"/>
        <v>5745.003</v>
      </c>
      <c r="I210" s="4">
        <f t="shared" si="6"/>
        <v>0.03764062825</v>
      </c>
      <c r="J210" s="4">
        <f t="shared" si="7"/>
        <v>0.03730318188</v>
      </c>
      <c r="K210" s="4">
        <f t="shared" si="8"/>
        <v>0.0000001138700514</v>
      </c>
      <c r="L210" s="9">
        <v>2744.2</v>
      </c>
      <c r="M210" s="4">
        <f t="shared" si="3"/>
        <v>11167.74938</v>
      </c>
      <c r="N210" s="4"/>
      <c r="O210" s="4"/>
      <c r="P210" s="4"/>
      <c r="Q210" s="4">
        <f t="shared" ref="Q210:S210" si="628">IF(E209=0,0,(E210-E209)/E209)</f>
        <v>1.292320284</v>
      </c>
      <c r="R210" s="4">
        <f t="shared" si="628"/>
        <v>-0.5815218353</v>
      </c>
      <c r="S210" s="4">
        <f t="shared" si="628"/>
        <v>1.412321401</v>
      </c>
      <c r="T210" s="11">
        <v>2744.2</v>
      </c>
      <c r="U210" s="4"/>
      <c r="V210" s="4"/>
      <c r="W210" s="4"/>
      <c r="X210" s="4"/>
      <c r="Y210" s="4">
        <f t="shared" ref="Y210:Z210" si="629">(L210-L209)/L209</f>
        <v>0.02434126294</v>
      </c>
      <c r="Z210" s="4">
        <f t="shared" si="629"/>
        <v>0.03562417872</v>
      </c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</row>
    <row r="211" ht="14.25" customHeight="1">
      <c r="A211" s="12">
        <v>45552.0</v>
      </c>
      <c r="B211" s="13">
        <v>4106.0</v>
      </c>
      <c r="C211" s="13">
        <v>17.52</v>
      </c>
      <c r="D211" s="13">
        <v>13178.0</v>
      </c>
      <c r="E211" s="4">
        <f t="shared" ref="E211:G211" si="630">LN(B211/B210)</f>
        <v>-0.003161096857</v>
      </c>
      <c r="F211" s="4">
        <f t="shared" si="630"/>
        <v>0.024264622</v>
      </c>
      <c r="G211" s="4">
        <f t="shared" si="630"/>
        <v>-0.007183124152</v>
      </c>
      <c r="H211" s="4">
        <f t="shared" si="2"/>
        <v>5709.5016</v>
      </c>
      <c r="I211" s="4">
        <f t="shared" si="6"/>
        <v>-0.0061986991</v>
      </c>
      <c r="J211" s="4">
        <f t="shared" si="7"/>
        <v>-0.006122286746</v>
      </c>
      <c r="K211" s="4">
        <f t="shared" si="8"/>
        <v>0.000000005838847804</v>
      </c>
      <c r="L211" s="14">
        <v>2774.04</v>
      </c>
      <c r="M211" s="4">
        <f t="shared" si="3"/>
        <v>11091.4842</v>
      </c>
      <c r="N211" s="4"/>
      <c r="O211" s="4"/>
      <c r="P211" s="4"/>
      <c r="Q211" s="4">
        <f t="shared" ref="Q211:S211" si="631">IF(E210=0,0,(E211-E210)/E210)</f>
        <v>-1.062076248</v>
      </c>
      <c r="R211" s="4">
        <f t="shared" si="631"/>
        <v>2.759900423</v>
      </c>
      <c r="S211" s="4">
        <f t="shared" si="631"/>
        <v>-1.213815026</v>
      </c>
      <c r="T211" s="15">
        <v>2774.04</v>
      </c>
      <c r="U211" s="4"/>
      <c r="V211" s="4"/>
      <c r="W211" s="4"/>
      <c r="X211" s="4"/>
      <c r="Y211" s="4">
        <f t="shared" ref="Y211:Z211" si="632">(L211-L210)/L210</f>
        <v>0.01087384301</v>
      </c>
      <c r="Z211" s="4">
        <f t="shared" si="632"/>
        <v>-0.00682905482</v>
      </c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</row>
    <row r="212" ht="14.25" customHeight="1">
      <c r="A212" s="7">
        <v>45553.0</v>
      </c>
      <c r="B212" s="8">
        <v>4031.0</v>
      </c>
      <c r="C212" s="8">
        <v>17.72</v>
      </c>
      <c r="D212" s="8">
        <v>13048.5</v>
      </c>
      <c r="E212" s="4">
        <f t="shared" ref="E212:G212" si="633">LN(B212/B211)</f>
        <v>-0.01843483446</v>
      </c>
      <c r="F212" s="4">
        <f t="shared" si="633"/>
        <v>0.01135085967</v>
      </c>
      <c r="G212" s="4">
        <f t="shared" si="633"/>
        <v>-0.009875587858</v>
      </c>
      <c r="H212" s="4">
        <f t="shared" si="2"/>
        <v>5642.0826</v>
      </c>
      <c r="I212" s="4">
        <f t="shared" si="6"/>
        <v>-0.01187848172</v>
      </c>
      <c r="J212" s="4">
        <f t="shared" si="7"/>
        <v>-0.01166581032</v>
      </c>
      <c r="K212" s="4">
        <f t="shared" si="8"/>
        <v>0.0000000452291245</v>
      </c>
      <c r="L212" s="9">
        <v>2751.73</v>
      </c>
      <c r="M212" s="4">
        <f t="shared" si="3"/>
        <v>10974.7874</v>
      </c>
      <c r="N212" s="4"/>
      <c r="O212" s="4"/>
      <c r="P212" s="4"/>
      <c r="Q212" s="4">
        <f t="shared" ref="Q212:S212" si="634">IF(E211=0,0,(E212-E211)/E211)</f>
        <v>4.831784123</v>
      </c>
      <c r="R212" s="4">
        <f t="shared" si="634"/>
        <v>-0.5322053783</v>
      </c>
      <c r="S212" s="4">
        <f t="shared" si="634"/>
        <v>0.3748318487</v>
      </c>
      <c r="T212" s="11">
        <v>2751.73</v>
      </c>
      <c r="U212" s="4"/>
      <c r="V212" s="4"/>
      <c r="W212" s="4"/>
      <c r="X212" s="4"/>
      <c r="Y212" s="4">
        <f t="shared" ref="Y212:Z212" si="635">(L212-L211)/L211</f>
        <v>-0.008042421883</v>
      </c>
      <c r="Z212" s="4">
        <f t="shared" si="635"/>
        <v>-0.01052129706</v>
      </c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</row>
    <row r="213" ht="14.25" customHeight="1">
      <c r="A213" s="12">
        <v>45554.0</v>
      </c>
      <c r="B213" s="13">
        <v>4137.5</v>
      </c>
      <c r="C213" s="13">
        <v>18.0</v>
      </c>
      <c r="D213" s="13">
        <v>13235.0</v>
      </c>
      <c r="E213" s="4">
        <f t="shared" ref="E213:G213" si="636">LN(B213/B212)</f>
        <v>0.02607725657</v>
      </c>
      <c r="F213" s="4">
        <f t="shared" si="636"/>
        <v>0.01567781272</v>
      </c>
      <c r="G213" s="4">
        <f t="shared" si="636"/>
        <v>0.01419165105</v>
      </c>
      <c r="H213" s="4">
        <f t="shared" si="2"/>
        <v>5738.865</v>
      </c>
      <c r="I213" s="4">
        <f t="shared" si="6"/>
        <v>0.01700820292</v>
      </c>
      <c r="J213" s="4">
        <f t="shared" si="7"/>
        <v>0.0168417506</v>
      </c>
      <c r="K213" s="4">
        <f t="shared" si="8"/>
        <v>0.00000002770637442</v>
      </c>
      <c r="L213" s="14">
        <v>2758.91</v>
      </c>
      <c r="M213" s="4">
        <f t="shared" si="3"/>
        <v>11142.5158</v>
      </c>
      <c r="N213" s="4"/>
      <c r="O213" s="4"/>
      <c r="P213" s="4"/>
      <c r="Q213" s="4">
        <f t="shared" ref="Q213:S213" si="637">IF(E212=0,0,(E213-E212)/E212)</f>
        <v>-2.414564184</v>
      </c>
      <c r="R213" s="4">
        <f t="shared" si="637"/>
        <v>0.3812004709</v>
      </c>
      <c r="S213" s="4">
        <f t="shared" si="637"/>
        <v>-2.437043673</v>
      </c>
      <c r="T213" s="15">
        <v>2758.91</v>
      </c>
      <c r="U213" s="4"/>
      <c r="V213" s="4"/>
      <c r="W213" s="4"/>
      <c r="X213" s="4"/>
      <c r="Y213" s="4">
        <f t="shared" ref="Y213:Z213" si="638">(L213-L212)/L212</f>
        <v>0.002609267624</v>
      </c>
      <c r="Z213" s="4">
        <f t="shared" si="638"/>
        <v>0.01528306552</v>
      </c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</row>
    <row r="214" ht="14.25" customHeight="1">
      <c r="A214" s="7">
        <v>45555.0</v>
      </c>
      <c r="B214" s="8">
        <v>4100.0</v>
      </c>
      <c r="C214" s="8">
        <v>18.02</v>
      </c>
      <c r="D214" s="8">
        <v>13510.0</v>
      </c>
      <c r="E214" s="4">
        <f t="shared" ref="E214:G214" si="639">LN(B214/B213)</f>
        <v>-0.009104766993</v>
      </c>
      <c r="F214" s="4">
        <f t="shared" si="639"/>
        <v>0.001110494284</v>
      </c>
      <c r="G214" s="4">
        <f t="shared" si="639"/>
        <v>0.02056531629</v>
      </c>
      <c r="H214" s="4">
        <f t="shared" si="2"/>
        <v>5817.2466</v>
      </c>
      <c r="I214" s="4">
        <f t="shared" si="6"/>
        <v>0.01356560143</v>
      </c>
      <c r="J214" s="4">
        <f t="shared" si="7"/>
        <v>0.0138663891</v>
      </c>
      <c r="K214" s="4">
        <f t="shared" si="8"/>
        <v>0.00000009047322244</v>
      </c>
      <c r="L214" s="9">
        <v>2782.35</v>
      </c>
      <c r="M214" s="4">
        <f t="shared" si="3"/>
        <v>11346.58789</v>
      </c>
      <c r="N214" s="4"/>
      <c r="O214" s="4"/>
      <c r="P214" s="4"/>
      <c r="Q214" s="4">
        <f t="shared" ref="Q214:S214" si="640">IF(E213=0,0,(E214-E213)/E213)</f>
        <v>-1.349145892</v>
      </c>
      <c r="R214" s="4">
        <f t="shared" si="640"/>
        <v>-0.9291677797</v>
      </c>
      <c r="S214" s="4">
        <f t="shared" si="640"/>
        <v>0.4491137238</v>
      </c>
      <c r="T214" s="11">
        <v>2782.35</v>
      </c>
      <c r="U214" s="4"/>
      <c r="V214" s="4"/>
      <c r="W214" s="4"/>
      <c r="X214" s="4"/>
      <c r="Y214" s="4">
        <f t="shared" ref="Y214:Z214" si="641">(L214-L213)/L213</f>
        <v>0.008496108971</v>
      </c>
      <c r="Z214" s="4">
        <f t="shared" si="641"/>
        <v>0.01831472281</v>
      </c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</row>
    <row r="215" ht="14.25" customHeight="1">
      <c r="A215" s="12">
        <v>45558.0</v>
      </c>
      <c r="B215" s="13">
        <v>4202.5</v>
      </c>
      <c r="C215" s="13">
        <v>17.98</v>
      </c>
      <c r="D215" s="13">
        <v>13630.0</v>
      </c>
      <c r="E215" s="4">
        <f t="shared" ref="E215:G215" si="642">LN(B215/B214)</f>
        <v>0.02469261259</v>
      </c>
      <c r="F215" s="4">
        <f t="shared" si="642"/>
        <v>-0.002222223137</v>
      </c>
      <c r="G215" s="4">
        <f t="shared" si="642"/>
        <v>0.008843093736</v>
      </c>
      <c r="H215" s="4">
        <f t="shared" si="2"/>
        <v>5890.6584</v>
      </c>
      <c r="I215" s="4">
        <f t="shared" si="6"/>
        <v>0.01254071708</v>
      </c>
      <c r="J215" s="4">
        <f t="shared" si="7"/>
        <v>0.01230784498</v>
      </c>
      <c r="K215" s="4">
        <f t="shared" si="8"/>
        <v>0.00000005422941388</v>
      </c>
      <c r="L215" s="14">
        <v>2819.87</v>
      </c>
      <c r="M215" s="4">
        <f t="shared" si="3"/>
        <v>11462.06116</v>
      </c>
      <c r="N215" s="4"/>
      <c r="O215" s="4"/>
      <c r="P215" s="4"/>
      <c r="Q215" s="4">
        <f t="shared" ref="Q215:S215" si="643">IF(E214=0,0,(E215-E214)/E214)</f>
        <v>-3.712053214</v>
      </c>
      <c r="R215" s="4">
        <f t="shared" si="643"/>
        <v>-3.001111729</v>
      </c>
      <c r="S215" s="4">
        <f t="shared" si="643"/>
        <v>-0.5699996241</v>
      </c>
      <c r="T215" s="15">
        <v>2819.87</v>
      </c>
      <c r="U215" s="4"/>
      <c r="V215" s="4"/>
      <c r="W215" s="4"/>
      <c r="X215" s="4"/>
      <c r="Y215" s="4">
        <f t="shared" ref="Y215:Z215" si="644">(L215-L214)/L214</f>
        <v>0.01348500368</v>
      </c>
      <c r="Z215" s="4">
        <f t="shared" si="644"/>
        <v>0.01017691589</v>
      </c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</row>
    <row r="216" ht="14.25" customHeight="1">
      <c r="A216" s="7">
        <v>45559.0</v>
      </c>
      <c r="B216" s="8">
        <v>4160.0</v>
      </c>
      <c r="C216" s="8">
        <v>17.88</v>
      </c>
      <c r="D216" s="8">
        <v>13747.5</v>
      </c>
      <c r="E216" s="4">
        <f t="shared" ref="E216:G216" si="645">LN(B216/B215)</f>
        <v>-0.01016451203</v>
      </c>
      <c r="F216" s="4">
        <f t="shared" si="645"/>
        <v>-0.005577259298</v>
      </c>
      <c r="G216" s="4">
        <f t="shared" si="645"/>
        <v>0.008583743691</v>
      </c>
      <c r="H216" s="4">
        <f t="shared" si="2"/>
        <v>5915.3754</v>
      </c>
      <c r="I216" s="4">
        <f t="shared" si="6"/>
        <v>0.004187187083</v>
      </c>
      <c r="J216" s="4">
        <f t="shared" si="7"/>
        <v>0.004340850837</v>
      </c>
      <c r="K216" s="4">
        <f t="shared" si="8"/>
        <v>0.00000002361254952</v>
      </c>
      <c r="L216" s="9">
        <v>2871.96</v>
      </c>
      <c r="M216" s="4">
        <f t="shared" si="3"/>
        <v>11543.36901</v>
      </c>
      <c r="N216" s="4"/>
      <c r="O216" s="4"/>
      <c r="P216" s="4"/>
      <c r="Q216" s="4">
        <f t="shared" ref="Q216:S216" si="646">IF(E215=0,0,(E216-E215)/E215)</f>
        <v>-1.411641822</v>
      </c>
      <c r="R216" s="4">
        <f t="shared" si="646"/>
        <v>1.509765651</v>
      </c>
      <c r="S216" s="4">
        <f t="shared" si="646"/>
        <v>-0.02932797646</v>
      </c>
      <c r="T216" s="11">
        <v>2871.96</v>
      </c>
      <c r="U216" s="4"/>
      <c r="V216" s="4"/>
      <c r="W216" s="4"/>
      <c r="X216" s="4"/>
      <c r="Y216" s="4">
        <f t="shared" ref="Y216:Z216" si="647">(L216-L215)/L215</f>
        <v>0.01847248277</v>
      </c>
      <c r="Z216" s="4">
        <f t="shared" si="647"/>
        <v>0.007093650187</v>
      </c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</row>
    <row r="217" ht="14.25" customHeight="1">
      <c r="A217" s="12">
        <v>45560.0</v>
      </c>
      <c r="B217" s="13">
        <v>4035.5</v>
      </c>
      <c r="C217" s="13">
        <v>17.98</v>
      </c>
      <c r="D217" s="13">
        <v>13441.5</v>
      </c>
      <c r="E217" s="4">
        <f t="shared" ref="E217:G217" si="648">LN(B217/B216)</f>
        <v>-0.03038486449</v>
      </c>
      <c r="F217" s="4">
        <f t="shared" si="648"/>
        <v>0.005577259298</v>
      </c>
      <c r="G217" s="4">
        <f t="shared" si="648"/>
        <v>-0.02251005339</v>
      </c>
      <c r="H217" s="4">
        <f t="shared" si="2"/>
        <v>5773.3434</v>
      </c>
      <c r="I217" s="4">
        <f t="shared" si="6"/>
        <v>-0.02430360307</v>
      </c>
      <c r="J217" s="4">
        <f t="shared" si="7"/>
        <v>-0.02411174931</v>
      </c>
      <c r="K217" s="4">
        <f t="shared" si="8"/>
        <v>0.00000003680786487</v>
      </c>
      <c r="L217" s="14">
        <v>2830.11</v>
      </c>
      <c r="M217" s="4">
        <f t="shared" si="3"/>
        <v>11279.34005</v>
      </c>
      <c r="N217" s="4"/>
      <c r="O217" s="4"/>
      <c r="P217" s="4"/>
      <c r="Q217" s="4">
        <f t="shared" ref="Q217:S217" si="649">IF(E216=0,0,(E217-E216)/E216)</f>
        <v>1.989308725</v>
      </c>
      <c r="R217" s="4">
        <f t="shared" si="649"/>
        <v>-2</v>
      </c>
      <c r="S217" s="4">
        <f t="shared" si="649"/>
        <v>-3.622405118</v>
      </c>
      <c r="T217" s="15">
        <v>2830.11</v>
      </c>
      <c r="U217" s="4"/>
      <c r="V217" s="4"/>
      <c r="W217" s="4"/>
      <c r="X217" s="4"/>
      <c r="Y217" s="4">
        <f t="shared" ref="Y217:Z217" si="650">(L217-L216)/L216</f>
        <v>-0.01457192997</v>
      </c>
      <c r="Z217" s="4">
        <f t="shared" si="650"/>
        <v>-0.02287278154</v>
      </c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</row>
    <row r="218" ht="14.25" customHeight="1">
      <c r="A218" s="7">
        <v>45561.0</v>
      </c>
      <c r="B218" s="8">
        <v>4001.5</v>
      </c>
      <c r="C218" s="8">
        <v>18.18</v>
      </c>
      <c r="D218" s="8">
        <v>13528.0</v>
      </c>
      <c r="E218" s="4">
        <f t="shared" ref="E218:G218" si="651">LN(B218/B217)</f>
        <v>-0.008460918957</v>
      </c>
      <c r="F218" s="4">
        <f t="shared" si="651"/>
        <v>0.01106205971</v>
      </c>
      <c r="G218" s="4">
        <f t="shared" si="651"/>
        <v>0.006414675586</v>
      </c>
      <c r="H218" s="4">
        <f t="shared" si="2"/>
        <v>5790.7344</v>
      </c>
      <c r="I218" s="4">
        <f t="shared" si="6"/>
        <v>0.003007764806</v>
      </c>
      <c r="J218" s="4">
        <f t="shared" si="7"/>
        <v>0.003132406465</v>
      </c>
      <c r="K218" s="4">
        <f t="shared" si="8"/>
        <v>0.00000001553554305</v>
      </c>
      <c r="L218" s="9">
        <v>2829.65</v>
      </c>
      <c r="M218" s="4">
        <f t="shared" si="3"/>
        <v>11338.59486</v>
      </c>
      <c r="N218" s="4"/>
      <c r="O218" s="4"/>
      <c r="P218" s="4"/>
      <c r="Q218" s="4">
        <f t="shared" ref="Q218:S218" si="652">IF(E217=0,0,(E218-E217)/E217)</f>
        <v>-0.721541659</v>
      </c>
      <c r="R218" s="4">
        <f t="shared" si="652"/>
        <v>0.9834221639</v>
      </c>
      <c r="S218" s="4">
        <f t="shared" si="652"/>
        <v>-1.284969363</v>
      </c>
      <c r="T218" s="11">
        <v>2829.65</v>
      </c>
      <c r="U218" s="4"/>
      <c r="V218" s="4"/>
      <c r="W218" s="4"/>
      <c r="X218" s="4"/>
      <c r="Y218" s="4">
        <f t="shared" ref="Y218:Z218" si="653">(L218-L217)/L217</f>
        <v>-0.0001625378519</v>
      </c>
      <c r="Z218" s="4">
        <f t="shared" si="653"/>
        <v>0.005253393361</v>
      </c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</row>
    <row r="219" ht="14.25" customHeight="1">
      <c r="A219" s="12">
        <v>45562.0</v>
      </c>
      <c r="B219" s="13">
        <v>4024.0</v>
      </c>
      <c r="C219" s="13">
        <v>18.07</v>
      </c>
      <c r="D219" s="13">
        <v>13397.5</v>
      </c>
      <c r="E219" s="4">
        <f t="shared" ref="E219:G219" si="654">LN(B219/B218)</f>
        <v>0.005607141972</v>
      </c>
      <c r="F219" s="4">
        <f t="shared" si="654"/>
        <v>-0.006068984145</v>
      </c>
      <c r="G219" s="4">
        <f t="shared" si="654"/>
        <v>-0.009693489209</v>
      </c>
      <c r="H219" s="4">
        <f t="shared" si="2"/>
        <v>5755.0581</v>
      </c>
      <c r="I219" s="4">
        <f t="shared" si="6"/>
        <v>-0.006179985228</v>
      </c>
      <c r="J219" s="4">
        <f t="shared" si="7"/>
        <v>-0.006272878311</v>
      </c>
      <c r="K219" s="4">
        <f t="shared" si="8"/>
        <v>0.000000008629124861</v>
      </c>
      <c r="L219" s="14">
        <v>2858.56</v>
      </c>
      <c r="M219" s="4">
        <f t="shared" si="3"/>
        <v>11242.79869</v>
      </c>
      <c r="N219" s="4"/>
      <c r="O219" s="4"/>
      <c r="P219" s="4"/>
      <c r="Q219" s="4">
        <f t="shared" ref="Q219:S219" si="655">IF(E218=0,0,(E219-E218)/E218)</f>
        <v>-1.662710753</v>
      </c>
      <c r="R219" s="4">
        <f t="shared" si="655"/>
        <v>-1.548630572</v>
      </c>
      <c r="S219" s="4">
        <f t="shared" si="655"/>
        <v>-2.511142548</v>
      </c>
      <c r="T219" s="15">
        <v>2858.56</v>
      </c>
      <c r="U219" s="4"/>
      <c r="V219" s="4"/>
      <c r="W219" s="4"/>
      <c r="X219" s="4"/>
      <c r="Y219" s="4">
        <f t="shared" ref="Y219:Z219" si="656">(L219-L218)/L218</f>
        <v>0.01021681127</v>
      </c>
      <c r="Z219" s="4">
        <f t="shared" si="656"/>
        <v>-0.008448681299</v>
      </c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</row>
    <row r="220" ht="14.25" customHeight="1">
      <c r="A220" s="7">
        <v>45565.0</v>
      </c>
      <c r="B220" s="8">
        <v>4007.5</v>
      </c>
      <c r="C220" s="8">
        <v>17.86</v>
      </c>
      <c r="D220" s="8">
        <v>13189.5</v>
      </c>
      <c r="E220" s="4">
        <f t="shared" ref="E220:G220" si="657">LN(B220/B219)</f>
        <v>-0.004108827296</v>
      </c>
      <c r="F220" s="4">
        <f t="shared" si="657"/>
        <v>-0.01168952916</v>
      </c>
      <c r="G220" s="4">
        <f t="shared" si="657"/>
        <v>-0.01564706388</v>
      </c>
      <c r="H220" s="4">
        <f t="shared" si="2"/>
        <v>5680.9038</v>
      </c>
      <c r="I220" s="4">
        <f t="shared" si="6"/>
        <v>-0.0129687979</v>
      </c>
      <c r="J220" s="4">
        <f t="shared" si="7"/>
        <v>-0.01306108366</v>
      </c>
      <c r="K220" s="4">
        <f t="shared" si="8"/>
        <v>0.000000008516661903</v>
      </c>
      <c r="L220" s="9">
        <v>2857.56</v>
      </c>
      <c r="M220" s="4">
        <f t="shared" si="3"/>
        <v>11078.47157</v>
      </c>
      <c r="N220" s="4"/>
      <c r="O220" s="4"/>
      <c r="P220" s="4"/>
      <c r="Q220" s="4">
        <f t="shared" ref="Q220:S220" si="658">IF(E219=0,0,(E220-E219)/E219)</f>
        <v>-1.732784602</v>
      </c>
      <c r="R220" s="4">
        <f t="shared" si="658"/>
        <v>0.9261096876</v>
      </c>
      <c r="S220" s="4">
        <f t="shared" si="658"/>
        <v>0.6141828338</v>
      </c>
      <c r="T220" s="11">
        <v>2857.56</v>
      </c>
      <c r="U220" s="4"/>
      <c r="V220" s="4"/>
      <c r="W220" s="4"/>
      <c r="X220" s="4"/>
      <c r="Y220" s="4">
        <f t="shared" ref="Y220:Z220" si="659">(L220-L219)/L219</f>
        <v>-0.0003498264861</v>
      </c>
      <c r="Z220" s="4">
        <f t="shared" si="659"/>
        <v>-0.01461621088</v>
      </c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</row>
    <row r="221" ht="14.25" customHeight="1">
      <c r="A221" s="12">
        <v>45566.0</v>
      </c>
      <c r="B221" s="13">
        <v>3963.0</v>
      </c>
      <c r="C221" s="13">
        <v>17.5</v>
      </c>
      <c r="D221" s="13">
        <v>13539.0</v>
      </c>
      <c r="E221" s="4">
        <f t="shared" ref="E221:G221" si="660">LN(B221/B220)</f>
        <v>-0.01116629129</v>
      </c>
      <c r="F221" s="4">
        <f t="shared" si="660"/>
        <v>-0.02036269452</v>
      </c>
      <c r="G221" s="4">
        <f t="shared" si="660"/>
        <v>0.02615335101</v>
      </c>
      <c r="H221" s="4">
        <f t="shared" si="2"/>
        <v>5781.435</v>
      </c>
      <c r="I221" s="4">
        <f t="shared" si="6"/>
        <v>0.01754158197</v>
      </c>
      <c r="J221" s="4">
        <f t="shared" si="7"/>
        <v>0.01761042636</v>
      </c>
      <c r="K221" s="4">
        <f t="shared" si="8"/>
        <v>0.000000004739549144</v>
      </c>
      <c r="L221" s="14">
        <v>2814.19</v>
      </c>
      <c r="M221" s="4">
        <f t="shared" si="3"/>
        <v>11338.52888</v>
      </c>
      <c r="N221" s="4"/>
      <c r="O221" s="4"/>
      <c r="P221" s="4"/>
      <c r="Q221" s="4">
        <f t="shared" ref="Q221:S221" si="661">IF(E220=0,0,(E221-E220)/E220)</f>
        <v>1.717634617</v>
      </c>
      <c r="R221" s="4">
        <f t="shared" si="661"/>
        <v>0.7419601977</v>
      </c>
      <c r="S221" s="4">
        <f t="shared" si="661"/>
        <v>-2.671454223</v>
      </c>
      <c r="T221" s="15">
        <v>2814.19</v>
      </c>
      <c r="U221" s="4"/>
      <c r="V221" s="4"/>
      <c r="W221" s="4"/>
      <c r="X221" s="4"/>
      <c r="Y221" s="4">
        <f t="shared" ref="Y221:Z221" si="662">(L221-L220)/L220</f>
        <v>-0.01517728412</v>
      </c>
      <c r="Z221" s="4">
        <f t="shared" si="662"/>
        <v>0.02347411432</v>
      </c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</row>
    <row r="222" ht="14.25" customHeight="1">
      <c r="A222" s="7">
        <v>45567.0</v>
      </c>
      <c r="B222" s="8">
        <v>3907.5</v>
      </c>
      <c r="C222" s="8">
        <v>17.44</v>
      </c>
      <c r="D222" s="8">
        <v>13419.5</v>
      </c>
      <c r="E222" s="4">
        <f t="shared" ref="E222:G222" si="663">LN(B222/B221)</f>
        <v>-0.01410353089</v>
      </c>
      <c r="F222" s="4">
        <f t="shared" si="663"/>
        <v>-0.003434462449</v>
      </c>
      <c r="G222" s="4">
        <f t="shared" si="663"/>
        <v>-0.008865536488</v>
      </c>
      <c r="H222" s="4">
        <f t="shared" si="2"/>
        <v>5723.6652</v>
      </c>
      <c r="I222" s="4">
        <f t="shared" si="6"/>
        <v>-0.01004255235</v>
      </c>
      <c r="J222" s="4">
        <f t="shared" si="7"/>
        <v>-0.01000117142</v>
      </c>
      <c r="K222" s="4">
        <f t="shared" si="8"/>
        <v>0.000000001712381537</v>
      </c>
      <c r="L222" s="9">
        <v>2766.79</v>
      </c>
      <c r="M222" s="4">
        <f t="shared" si="3"/>
        <v>11233.88957</v>
      </c>
      <c r="N222" s="4"/>
      <c r="O222" s="4"/>
      <c r="P222" s="4"/>
      <c r="Q222" s="4">
        <f t="shared" ref="Q222:S222" si="664">IF(E221=0,0,(E222-E221)/E221)</f>
        <v>0.2630452246</v>
      </c>
      <c r="R222" s="4">
        <f t="shared" si="664"/>
        <v>-0.8313355609</v>
      </c>
      <c r="S222" s="4">
        <f t="shared" si="664"/>
        <v>-1.338982813</v>
      </c>
      <c r="T222" s="11">
        <v>2766.79</v>
      </c>
      <c r="U222" s="4"/>
      <c r="V222" s="4"/>
      <c r="W222" s="4"/>
      <c r="X222" s="4"/>
      <c r="Y222" s="4">
        <f t="shared" ref="Y222:Z222" si="665">(L222-L221)/L221</f>
        <v>-0.01684321243</v>
      </c>
      <c r="Z222" s="4">
        <f t="shared" si="665"/>
        <v>-0.009228649101</v>
      </c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</row>
    <row r="223" ht="14.25" customHeight="1">
      <c r="A223" s="12">
        <v>45568.0</v>
      </c>
      <c r="B223" s="13">
        <v>3969.0</v>
      </c>
      <c r="C223" s="13">
        <v>17.18</v>
      </c>
      <c r="D223" s="13">
        <v>13448.0</v>
      </c>
      <c r="E223" s="4">
        <f t="shared" ref="E223:G223" si="666">LN(B223/B222)</f>
        <v>0.01561639049</v>
      </c>
      <c r="F223" s="4">
        <f t="shared" si="666"/>
        <v>-0.01502050192</v>
      </c>
      <c r="G223" s="4">
        <f t="shared" si="666"/>
        <v>0.002121523081</v>
      </c>
      <c r="H223" s="4">
        <f t="shared" si="2"/>
        <v>5753.2794</v>
      </c>
      <c r="I223" s="4">
        <f t="shared" si="6"/>
        <v>0.00516065325</v>
      </c>
      <c r="J223" s="4">
        <f t="shared" si="7"/>
        <v>0.005030608993</v>
      </c>
      <c r="K223" s="4">
        <f t="shared" si="8"/>
        <v>0.00000001691150889</v>
      </c>
      <c r="L223" s="14">
        <v>2782.39</v>
      </c>
      <c r="M223" s="4">
        <f t="shared" si="3"/>
        <v>11269.57314</v>
      </c>
      <c r="N223" s="4"/>
      <c r="O223" s="4"/>
      <c r="P223" s="4"/>
      <c r="Q223" s="4">
        <f t="shared" ref="Q223:S223" si="667">IF(E222=0,0,(E223-E222)/E222)</f>
        <v>-2.107268145</v>
      </c>
      <c r="R223" s="4">
        <f t="shared" si="667"/>
        <v>3.373465178</v>
      </c>
      <c r="S223" s="4">
        <f t="shared" si="667"/>
        <v>-1.239300023</v>
      </c>
      <c r="T223" s="15">
        <v>2782.39</v>
      </c>
      <c r="U223" s="4"/>
      <c r="V223" s="4"/>
      <c r="W223" s="4"/>
      <c r="X223" s="4"/>
      <c r="Y223" s="4">
        <f t="shared" ref="Y223:Z223" si="668">(L223-L222)/L222</f>
        <v>0.005638302871</v>
      </c>
      <c r="Z223" s="4">
        <f t="shared" si="668"/>
        <v>0.003176421255</v>
      </c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</row>
    <row r="224" ht="14.25" customHeight="1">
      <c r="A224" s="7">
        <v>45569.0</v>
      </c>
      <c r="B224" s="8">
        <v>3945.5</v>
      </c>
      <c r="C224" s="8">
        <v>17.43</v>
      </c>
      <c r="D224" s="8">
        <v>13423.0</v>
      </c>
      <c r="E224" s="4">
        <f t="shared" ref="E224:G224" si="669">LN(B224/B223)</f>
        <v>-0.005938484822</v>
      </c>
      <c r="F224" s="4">
        <f t="shared" si="669"/>
        <v>0.01444694298</v>
      </c>
      <c r="G224" s="4">
        <f t="shared" si="669"/>
        <v>-0.001860742601</v>
      </c>
      <c r="H224" s="4">
        <f t="shared" si="2"/>
        <v>5737.3569</v>
      </c>
      <c r="I224" s="4">
        <f t="shared" si="6"/>
        <v>-0.002771388768</v>
      </c>
      <c r="J224" s="4">
        <f t="shared" si="7"/>
        <v>-0.002680784997</v>
      </c>
      <c r="K224" s="4">
        <f t="shared" si="8"/>
        <v>0.000000008209043323</v>
      </c>
      <c r="L224" s="9">
        <v>2804.62</v>
      </c>
      <c r="M224" s="4">
        <f t="shared" si="3"/>
        <v>11245.04046</v>
      </c>
      <c r="N224" s="4"/>
      <c r="O224" s="4"/>
      <c r="P224" s="4"/>
      <c r="Q224" s="4">
        <f t="shared" ref="Q224:S224" si="670">IF(E223=0,0,(E224-E223)/E223)</f>
        <v>-1.380272562</v>
      </c>
      <c r="R224" s="4">
        <f t="shared" si="670"/>
        <v>-1.961814928</v>
      </c>
      <c r="S224" s="4">
        <f t="shared" si="670"/>
        <v>-1.87707865</v>
      </c>
      <c r="T224" s="11">
        <v>2804.62</v>
      </c>
      <c r="U224" s="4"/>
      <c r="V224" s="4"/>
      <c r="W224" s="4"/>
      <c r="X224" s="4"/>
      <c r="Y224" s="4">
        <f t="shared" ref="Y224:Z224" si="671">(L224-L223)/L223</f>
        <v>0.007989534177</v>
      </c>
      <c r="Z224" s="4">
        <f t="shared" si="671"/>
        <v>-0.00217689505</v>
      </c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</row>
    <row r="225" ht="14.25" customHeight="1">
      <c r="A225" s="12">
        <v>45572.0</v>
      </c>
      <c r="B225" s="13">
        <v>3928.5</v>
      </c>
      <c r="C225" s="13">
        <v>17.67</v>
      </c>
      <c r="D225" s="13">
        <v>13359.5</v>
      </c>
      <c r="E225" s="4">
        <f t="shared" ref="E225:G225" si="672">LN(B225/B224)</f>
        <v>-0.004318015345</v>
      </c>
      <c r="F225" s="4">
        <f t="shared" si="672"/>
        <v>0.0136754268</v>
      </c>
      <c r="G225" s="4">
        <f t="shared" si="672"/>
        <v>-0.004741911247</v>
      </c>
      <c r="H225" s="4">
        <f t="shared" si="2"/>
        <v>5710.8711</v>
      </c>
      <c r="I225" s="4">
        <f t="shared" si="6"/>
        <v>-0.004627064949</v>
      </c>
      <c r="J225" s="4">
        <f t="shared" si="7"/>
        <v>-0.004550035847</v>
      </c>
      <c r="K225" s="4">
        <f t="shared" si="8"/>
        <v>0.000000005933482553</v>
      </c>
      <c r="L225" s="14">
        <v>2793.84</v>
      </c>
      <c r="M225" s="4">
        <f t="shared" si="3"/>
        <v>11192.21553</v>
      </c>
      <c r="N225" s="4"/>
      <c r="O225" s="4"/>
      <c r="P225" s="4"/>
      <c r="Q225" s="4">
        <f t="shared" ref="Q225:S225" si="673">IF(E224=0,0,(E225-E224)/E224)</f>
        <v>-0.2728759145</v>
      </c>
      <c r="R225" s="4">
        <f t="shared" si="673"/>
        <v>-0.05340342088</v>
      </c>
      <c r="S225" s="4">
        <f t="shared" si="673"/>
        <v>1.548397207</v>
      </c>
      <c r="T225" s="15">
        <v>2793.84</v>
      </c>
      <c r="U225" s="4"/>
      <c r="V225" s="4"/>
      <c r="W225" s="4"/>
      <c r="X225" s="4"/>
      <c r="Y225" s="4">
        <f t="shared" ref="Y225:Z225" si="674">(L225-L224)/L224</f>
        <v>-0.003843657964</v>
      </c>
      <c r="Z225" s="4">
        <f t="shared" si="674"/>
        <v>-0.004697620111</v>
      </c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</row>
    <row r="226" ht="14.25" customHeight="1">
      <c r="A226" s="7">
        <v>45573.0</v>
      </c>
      <c r="B226" s="8">
        <v>3982.5</v>
      </c>
      <c r="C226" s="8">
        <v>17.51</v>
      </c>
      <c r="D226" s="8">
        <v>13288.5</v>
      </c>
      <c r="E226" s="4">
        <f t="shared" ref="E226:G226" si="675">LN(B226/B225)</f>
        <v>0.01365208917</v>
      </c>
      <c r="F226" s="4">
        <f t="shared" si="675"/>
        <v>-0.009096140034</v>
      </c>
      <c r="G226" s="4">
        <f t="shared" si="675"/>
        <v>-0.00532874272</v>
      </c>
      <c r="H226" s="4">
        <f t="shared" si="2"/>
        <v>5705.2083</v>
      </c>
      <c r="I226" s="4">
        <f t="shared" si="6"/>
        <v>-0.0009920744708</v>
      </c>
      <c r="J226" s="4">
        <f t="shared" si="7"/>
        <v>-0.001129196584</v>
      </c>
      <c r="K226" s="4">
        <f t="shared" si="8"/>
        <v>0.00000001880247396</v>
      </c>
      <c r="L226" s="9">
        <v>2788.37</v>
      </c>
      <c r="M226" s="4">
        <f t="shared" si="3"/>
        <v>11149.37913</v>
      </c>
      <c r="N226" s="4"/>
      <c r="O226" s="4"/>
      <c r="P226" s="4"/>
      <c r="Q226" s="4">
        <f t="shared" ref="Q226:S226" si="676">IF(E225=0,0,(E226-E225)/E225)</f>
        <v>-4.161658326</v>
      </c>
      <c r="R226" s="4">
        <f t="shared" si="676"/>
        <v>-1.665144874</v>
      </c>
      <c r="S226" s="4">
        <f t="shared" si="676"/>
        <v>0.1237542085</v>
      </c>
      <c r="T226" s="11">
        <v>2788.37</v>
      </c>
      <c r="U226" s="4"/>
      <c r="V226" s="4"/>
      <c r="W226" s="4"/>
      <c r="X226" s="4"/>
      <c r="Y226" s="4">
        <f t="shared" ref="Y226:Z226" si="677">(L226-L225)/L225</f>
        <v>-0.001957878762</v>
      </c>
      <c r="Z226" s="4">
        <f t="shared" si="677"/>
        <v>-0.003827339084</v>
      </c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</row>
    <row r="227" ht="14.25" customHeight="1">
      <c r="A227" s="12">
        <v>45574.0</v>
      </c>
      <c r="B227" s="13">
        <v>3933.5</v>
      </c>
      <c r="C227" s="13">
        <v>17.67</v>
      </c>
      <c r="D227" s="13">
        <v>13019.5</v>
      </c>
      <c r="E227" s="4">
        <f t="shared" ref="E227:G227" si="678">LN(B227/B226)</f>
        <v>-0.01238014801</v>
      </c>
      <c r="F227" s="4">
        <f t="shared" si="678"/>
        <v>0.009096140034</v>
      </c>
      <c r="G227" s="4">
        <f t="shared" si="678"/>
        <v>-0.02045076595</v>
      </c>
      <c r="H227" s="4">
        <f t="shared" si="2"/>
        <v>5600.3211</v>
      </c>
      <c r="I227" s="4">
        <f t="shared" si="6"/>
        <v>-0.0185555591</v>
      </c>
      <c r="J227" s="4">
        <f t="shared" si="7"/>
        <v>-0.01849998719</v>
      </c>
      <c r="K227" s="4">
        <f t="shared" si="8"/>
        <v>0.000000003088236371</v>
      </c>
      <c r="L227" s="14">
        <v>2748.81</v>
      </c>
      <c r="M227" s="4">
        <f t="shared" si="3"/>
        <v>10930.71304</v>
      </c>
      <c r="N227" s="4"/>
      <c r="O227" s="4"/>
      <c r="P227" s="4"/>
      <c r="Q227" s="4">
        <f t="shared" ref="Q227:S227" si="679">IF(E226=0,0,(E227-E226)/E226)</f>
        <v>-1.906831758</v>
      </c>
      <c r="R227" s="4">
        <f t="shared" si="679"/>
        <v>-2</v>
      </c>
      <c r="S227" s="4">
        <f t="shared" si="679"/>
        <v>2.837821983</v>
      </c>
      <c r="T227" s="15">
        <v>2748.81</v>
      </c>
      <c r="U227" s="4"/>
      <c r="V227" s="4"/>
      <c r="W227" s="4"/>
      <c r="X227" s="4"/>
      <c r="Y227" s="4">
        <f t="shared" ref="Y227:Z227" si="680">(L227-L226)/L226</f>
        <v>-0.01418750022</v>
      </c>
      <c r="Z227" s="4">
        <f t="shared" si="680"/>
        <v>-0.01961240023</v>
      </c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</row>
    <row r="228" ht="14.25" customHeight="1">
      <c r="A228" s="7">
        <v>45575.0</v>
      </c>
      <c r="B228" s="8">
        <v>3979.5</v>
      </c>
      <c r="C228" s="8">
        <v>18.2</v>
      </c>
      <c r="D228" s="8">
        <v>13028.5</v>
      </c>
      <c r="E228" s="4">
        <f t="shared" ref="E228:G228" si="681">LN(B228/B227)</f>
        <v>0.01162656848</v>
      </c>
      <c r="F228" s="4">
        <f t="shared" si="681"/>
        <v>0.02955330775</v>
      </c>
      <c r="G228" s="4">
        <f t="shared" si="681"/>
        <v>0.0006910319685</v>
      </c>
      <c r="H228" s="4">
        <f t="shared" si="2"/>
        <v>5618.646</v>
      </c>
      <c r="I228" s="4">
        <f t="shared" si="6"/>
        <v>0.003266774229</v>
      </c>
      <c r="J228" s="4">
        <f t="shared" si="7"/>
        <v>0.003275064631</v>
      </c>
      <c r="K228" s="4">
        <f t="shared" si="8"/>
        <v>0</v>
      </c>
      <c r="L228" s="9">
        <v>2761.54</v>
      </c>
      <c r="M228" s="4">
        <f t="shared" si="3"/>
        <v>10947.8934</v>
      </c>
      <c r="N228" s="4"/>
      <c r="O228" s="4"/>
      <c r="P228" s="4"/>
      <c r="Q228" s="4">
        <f t="shared" ref="Q228:S228" si="682">IF(E227=0,0,(E228-E227)/E227)</f>
        <v>-1.939130006</v>
      </c>
      <c r="R228" s="4">
        <f t="shared" si="682"/>
        <v>2.248994369</v>
      </c>
      <c r="S228" s="4">
        <f t="shared" si="682"/>
        <v>-1.033790029</v>
      </c>
      <c r="T228" s="11">
        <v>2761.54</v>
      </c>
      <c r="U228" s="4"/>
      <c r="V228" s="4"/>
      <c r="W228" s="4"/>
      <c r="X228" s="4"/>
      <c r="Y228" s="4">
        <f t="shared" ref="Y228:Z228" si="683">(L228-L227)/L227</f>
        <v>0.00463109491</v>
      </c>
      <c r="Z228" s="4">
        <f t="shared" si="683"/>
        <v>0.001571750368</v>
      </c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</row>
    <row r="229" ht="14.25" customHeight="1">
      <c r="A229" s="12">
        <v>45576.0</v>
      </c>
      <c r="B229" s="13">
        <v>3975.0</v>
      </c>
      <c r="C229" s="13">
        <v>18.49</v>
      </c>
      <c r="D229" s="13">
        <v>13259.5</v>
      </c>
      <c r="E229" s="4">
        <f t="shared" ref="E229:G229" si="684">LN(B229/B228)</f>
        <v>-0.001131435157</v>
      </c>
      <c r="F229" s="4">
        <f t="shared" si="684"/>
        <v>0.01580845132</v>
      </c>
      <c r="G229" s="4">
        <f t="shared" si="684"/>
        <v>0.0175750111</v>
      </c>
      <c r="H229" s="4">
        <f t="shared" si="2"/>
        <v>5693.4867</v>
      </c>
      <c r="I229" s="4">
        <f t="shared" si="6"/>
        <v>0.01323212766</v>
      </c>
      <c r="J229" s="4">
        <f t="shared" si="7"/>
        <v>0.01340712317</v>
      </c>
      <c r="K229" s="4">
        <f t="shared" si="8"/>
        <v>0.00000003062343039</v>
      </c>
      <c r="L229" s="14">
        <v>2754.52</v>
      </c>
      <c r="M229" s="4">
        <f t="shared" si="3"/>
        <v>11125.31761</v>
      </c>
      <c r="N229" s="4"/>
      <c r="O229" s="4"/>
      <c r="P229" s="4"/>
      <c r="Q229" s="4">
        <f t="shared" ref="Q229:S229" si="685">IF(E228=0,0,(E229-E228)/E228)</f>
        <v>-1.097314626</v>
      </c>
      <c r="R229" s="4">
        <f t="shared" si="685"/>
        <v>-0.465086905</v>
      </c>
      <c r="S229" s="4">
        <f t="shared" si="685"/>
        <v>24.43299283</v>
      </c>
      <c r="T229" s="15">
        <v>2754.52</v>
      </c>
      <c r="U229" s="4"/>
      <c r="V229" s="4"/>
      <c r="W229" s="4"/>
      <c r="X229" s="4"/>
      <c r="Y229" s="4">
        <f t="shared" ref="Y229:Z229" si="686">(L229-L228)/L228</f>
        <v>-0.002542059865</v>
      </c>
      <c r="Z229" s="4">
        <f t="shared" si="686"/>
        <v>0.01620624266</v>
      </c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</row>
    <row r="230" ht="14.25" customHeight="1">
      <c r="A230" s="7">
        <v>45579.0</v>
      </c>
      <c r="B230" s="8">
        <v>4074.0</v>
      </c>
      <c r="C230" s="8">
        <v>18.27</v>
      </c>
      <c r="D230" s="8">
        <v>13328.0</v>
      </c>
      <c r="E230" s="4">
        <f t="shared" ref="E230:G230" si="687">LN(B230/B229)</f>
        <v>0.0246005697</v>
      </c>
      <c r="F230" s="4">
        <f t="shared" si="687"/>
        <v>-0.01196967501</v>
      </c>
      <c r="G230" s="4">
        <f t="shared" si="687"/>
        <v>0.005152808768</v>
      </c>
      <c r="H230" s="4">
        <f t="shared" si="2"/>
        <v>5748.6891</v>
      </c>
      <c r="I230" s="4">
        <f t="shared" si="6"/>
        <v>0.00964900894</v>
      </c>
      <c r="J230" s="4">
        <f t="shared" si="7"/>
        <v>0.00938535175</v>
      </c>
      <c r="K230" s="4">
        <f t="shared" si="8"/>
        <v>0.00000006951511363</v>
      </c>
      <c r="L230" s="9">
        <v>2773.36</v>
      </c>
      <c r="M230" s="4">
        <f t="shared" si="3"/>
        <v>11200.23357</v>
      </c>
      <c r="N230" s="4"/>
      <c r="O230" s="4"/>
      <c r="P230" s="4"/>
      <c r="Q230" s="4">
        <f t="shared" ref="Q230:S230" si="688">IF(E229=0,0,(E230-E229)/E229)</f>
        <v>-22.7428012</v>
      </c>
      <c r="R230" s="4">
        <f t="shared" si="688"/>
        <v>-1.757169363</v>
      </c>
      <c r="S230" s="4">
        <f t="shared" si="688"/>
        <v>-0.7068104971</v>
      </c>
      <c r="T230" s="11">
        <v>2773.36</v>
      </c>
      <c r="U230" s="4"/>
      <c r="V230" s="4"/>
      <c r="W230" s="4"/>
      <c r="X230" s="4"/>
      <c r="Y230" s="4">
        <f t="shared" ref="Y230:Z230" si="689">(L230-L229)/L229</f>
        <v>0.006839667165</v>
      </c>
      <c r="Z230" s="4">
        <f t="shared" si="689"/>
        <v>0.006733825971</v>
      </c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</row>
    <row r="231" ht="14.25" customHeight="1">
      <c r="A231" s="12">
        <v>45580.0</v>
      </c>
      <c r="B231" s="13">
        <v>4091.0</v>
      </c>
      <c r="C231" s="13">
        <v>18.29</v>
      </c>
      <c r="D231" s="13">
        <v>13508.0</v>
      </c>
      <c r="E231" s="4">
        <f t="shared" ref="E231:G231" si="690">LN(B231/B230)</f>
        <v>0.004164121143</v>
      </c>
      <c r="F231" s="4">
        <f t="shared" si="690"/>
        <v>0.001094092013</v>
      </c>
      <c r="G231" s="4">
        <f t="shared" si="690"/>
        <v>0.0134150171</v>
      </c>
      <c r="H231" s="4">
        <f t="shared" si="2"/>
        <v>5813.7057</v>
      </c>
      <c r="I231" s="4">
        <f t="shared" si="6"/>
        <v>0.01124633545</v>
      </c>
      <c r="J231" s="4">
        <f t="shared" si="7"/>
        <v>0.01129318296</v>
      </c>
      <c r="K231" s="4">
        <f t="shared" si="8"/>
        <v>0.000000002194689424</v>
      </c>
      <c r="L231" s="14">
        <v>2805.79</v>
      </c>
      <c r="M231" s="4">
        <f t="shared" si="3"/>
        <v>11343.04379</v>
      </c>
      <c r="N231" s="4"/>
      <c r="O231" s="4"/>
      <c r="P231" s="4"/>
      <c r="Q231" s="4">
        <f t="shared" ref="Q231:S231" si="691">IF(E230=0,0,(E231-E230)/E230)</f>
        <v>-0.8307307028</v>
      </c>
      <c r="R231" s="4">
        <f t="shared" si="691"/>
        <v>-1.091405323</v>
      </c>
      <c r="S231" s="4">
        <f t="shared" si="691"/>
        <v>1.603437795</v>
      </c>
      <c r="T231" s="15">
        <v>2805.79</v>
      </c>
      <c r="U231" s="4"/>
      <c r="V231" s="4"/>
      <c r="W231" s="4"/>
      <c r="X231" s="4"/>
      <c r="Y231" s="4">
        <f t="shared" ref="Y231:Z231" si="692">(L231-L230)/L230</f>
        <v>0.01169339718</v>
      </c>
      <c r="Z231" s="4">
        <f t="shared" si="692"/>
        <v>0.01275064705</v>
      </c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</row>
    <row r="232" ht="14.25" customHeight="1">
      <c r="A232" s="7">
        <v>45581.0</v>
      </c>
      <c r="B232" s="8">
        <v>4057.0</v>
      </c>
      <c r="C232" s="8">
        <v>18.54</v>
      </c>
      <c r="D232" s="8">
        <v>13513.0</v>
      </c>
      <c r="E232" s="4">
        <f t="shared" ref="E232:G232" si="693">LN(B232/B231)</f>
        <v>-0.008345654723</v>
      </c>
      <c r="F232" s="4">
        <f t="shared" si="693"/>
        <v>0.01357609773</v>
      </c>
      <c r="G232" s="4">
        <f t="shared" si="693"/>
        <v>0.0003700825326</v>
      </c>
      <c r="H232" s="4">
        <f t="shared" si="2"/>
        <v>5804.2182</v>
      </c>
      <c r="I232" s="4">
        <f t="shared" si="6"/>
        <v>-0.001633252583</v>
      </c>
      <c r="J232" s="4">
        <f t="shared" si="7"/>
        <v>-0.001497449672</v>
      </c>
      <c r="K232" s="4">
        <f t="shared" si="8"/>
        <v>0.00000001844243068</v>
      </c>
      <c r="L232" s="9">
        <v>2783.46</v>
      </c>
      <c r="M232" s="4">
        <f t="shared" si="3"/>
        <v>11339.34874</v>
      </c>
      <c r="N232" s="4"/>
      <c r="O232" s="4"/>
      <c r="P232" s="4"/>
      <c r="Q232" s="4">
        <f t="shared" ref="Q232:S232" si="694">IF(E231=0,0,(E232-E231)/E231)</f>
        <v>-3.00418154</v>
      </c>
      <c r="R232" s="4">
        <f t="shared" si="694"/>
        <v>11.40855209</v>
      </c>
      <c r="S232" s="4">
        <f t="shared" si="694"/>
        <v>-0.9724128169</v>
      </c>
      <c r="T232" s="11">
        <v>2783.46</v>
      </c>
      <c r="U232" s="4"/>
      <c r="V232" s="4"/>
      <c r="W232" s="4"/>
      <c r="X232" s="4"/>
      <c r="Y232" s="4">
        <f t="shared" ref="Y232:Z232" si="695">(L232-L231)/L231</f>
        <v>-0.00795854287</v>
      </c>
      <c r="Z232" s="4">
        <f t="shared" si="695"/>
        <v>-0.0003257545396</v>
      </c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</row>
    <row r="233" ht="14.25" customHeight="1"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 t="s">
        <v>32</v>
      </c>
      <c r="Y233" s="4">
        <f t="shared" ref="Y233:Z233" si="696">AVERAGE(Y3:Y232)</f>
        <v>-0.0004801779524</v>
      </c>
      <c r="Z233" s="4">
        <f t="shared" si="696"/>
        <v>0.0009549394126</v>
      </c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</row>
    <row r="234" ht="14.25" customHeight="1"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</row>
    <row r="235" ht="14.25" customHeight="1"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</row>
    <row r="236" ht="14.25" customHeight="1"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</row>
    <row r="237" ht="14.25" customHeight="1"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</row>
    <row r="238" ht="14.25" customHeight="1"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</row>
    <row r="239" ht="14.25" customHeight="1">
      <c r="A239" s="4"/>
      <c r="B239" s="2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</row>
    <row r="240" ht="14.25" customHeight="1">
      <c r="A240" s="4"/>
      <c r="B240" s="2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</row>
    <row r="241" ht="14.25" customHeight="1">
      <c r="A241" s="4"/>
      <c r="B241" s="2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</row>
    <row r="242" ht="14.25" customHeight="1">
      <c r="A242" s="4"/>
      <c r="B242" s="2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</row>
    <row r="243" ht="14.25" customHeight="1">
      <c r="A243" s="4"/>
      <c r="B243" s="2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</row>
    <row r="244" ht="14.25" customHeight="1">
      <c r="A244" s="4"/>
      <c r="B244" s="2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</row>
    <row r="245" ht="14.25" customHeight="1">
      <c r="A245" s="4"/>
      <c r="B245" s="2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</row>
    <row r="246" ht="14.25" customHeight="1">
      <c r="A246" s="4"/>
      <c r="B246" s="2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</row>
    <row r="247" ht="14.25" customHeight="1">
      <c r="A247" s="4"/>
      <c r="B247" s="2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</row>
    <row r="248" ht="14.25" customHeight="1">
      <c r="A248" s="4"/>
      <c r="B248" s="2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</row>
    <row r="249" ht="14.25" customHeight="1">
      <c r="A249" s="4"/>
      <c r="B249" s="2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</row>
    <row r="250" ht="14.25" customHeight="1">
      <c r="A250" s="4"/>
      <c r="B250" s="2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</row>
    <row r="251" ht="14.25" customHeight="1">
      <c r="A251" s="4"/>
      <c r="B251" s="2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</row>
    <row r="252" ht="14.25" customHeight="1">
      <c r="A252" s="4"/>
      <c r="B252" s="2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</row>
    <row r="253" ht="14.25" customHeight="1">
      <c r="A253" s="4"/>
      <c r="B253" s="2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</row>
    <row r="254" ht="14.25" customHeight="1">
      <c r="A254" s="4"/>
      <c r="B254" s="2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</row>
    <row r="255" ht="14.25" customHeight="1">
      <c r="A255" s="4"/>
      <c r="B255" s="2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</row>
    <row r="256" ht="14.25" customHeight="1">
      <c r="A256" s="4"/>
      <c r="B256" s="2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</row>
    <row r="257" ht="14.25" customHeight="1">
      <c r="A257" s="4"/>
      <c r="B257" s="2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</row>
    <row r="258" ht="14.25" customHeight="1">
      <c r="A258" s="4"/>
      <c r="B258" s="2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</row>
    <row r="259" ht="14.25" customHeight="1">
      <c r="A259" s="4"/>
      <c r="B259" s="2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</row>
    <row r="260" ht="14.25" customHeight="1">
      <c r="A260" s="4"/>
      <c r="B260" s="2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</row>
    <row r="261" ht="14.25" customHeight="1">
      <c r="A261" s="4"/>
      <c r="B261" s="2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</row>
    <row r="262" ht="14.25" customHeight="1">
      <c r="A262" s="4"/>
      <c r="B262" s="2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</row>
    <row r="263" ht="14.25" customHeight="1">
      <c r="A263" s="4"/>
      <c r="B263" s="2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</row>
    <row r="264" ht="14.25" customHeight="1">
      <c r="A264" s="4"/>
      <c r="B264" s="2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</row>
    <row r="265" ht="14.25" customHeight="1">
      <c r="A265" s="4"/>
      <c r="B265" s="2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</row>
    <row r="266" ht="14.25" customHeight="1">
      <c r="A266" s="4"/>
      <c r="B266" s="2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</row>
    <row r="267" ht="14.25" customHeight="1">
      <c r="A267" s="4"/>
      <c r="B267" s="2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</row>
    <row r="268" ht="14.25" customHeight="1">
      <c r="A268" s="4"/>
      <c r="B268" s="2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</row>
    <row r="269" ht="14.25" customHeight="1">
      <c r="A269" s="4"/>
      <c r="B269" s="2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</row>
    <row r="270" ht="14.25" customHeight="1">
      <c r="A270" s="4"/>
      <c r="B270" s="2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</row>
    <row r="271" ht="14.25" customHeight="1">
      <c r="A271" s="4"/>
      <c r="B271" s="2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</row>
    <row r="272" ht="14.25" customHeight="1">
      <c r="A272" s="4"/>
      <c r="B272" s="2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</row>
    <row r="273" ht="14.25" customHeight="1">
      <c r="A273" s="4"/>
      <c r="B273" s="2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</row>
    <row r="274" ht="14.25" customHeight="1">
      <c r="A274" s="4"/>
      <c r="B274" s="2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</row>
    <row r="275" ht="14.25" customHeight="1">
      <c r="A275" s="4"/>
      <c r="B275" s="20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</row>
    <row r="276" ht="14.25" customHeight="1">
      <c r="A276" s="4"/>
      <c r="B276" s="20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</row>
    <row r="277" ht="14.25" customHeight="1">
      <c r="A277" s="4"/>
      <c r="B277" s="20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</row>
    <row r="278" ht="14.25" customHeight="1">
      <c r="A278" s="4"/>
      <c r="B278" s="20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</row>
    <row r="279" ht="14.25" customHeight="1">
      <c r="A279" s="4"/>
      <c r="B279" s="20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</row>
    <row r="280" ht="14.25" customHeight="1">
      <c r="A280" s="4"/>
      <c r="B280" s="20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</row>
    <row r="281" ht="14.25" customHeight="1">
      <c r="A281" s="4"/>
      <c r="B281" s="20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</row>
    <row r="282" ht="14.25" customHeight="1">
      <c r="A282" s="4"/>
      <c r="B282" s="20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</row>
    <row r="283" ht="14.25" customHeight="1">
      <c r="A283" s="4"/>
      <c r="B283" s="20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</row>
    <row r="284" ht="14.25" customHeight="1">
      <c r="A284" s="4"/>
      <c r="B284" s="20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</row>
    <row r="285" ht="14.25" customHeight="1">
      <c r="A285" s="4"/>
      <c r="B285" s="20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</row>
    <row r="286" ht="14.25" customHeight="1">
      <c r="A286" s="4"/>
      <c r="B286" s="20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</row>
    <row r="287" ht="14.25" customHeight="1">
      <c r="A287" s="4"/>
      <c r="B287" s="20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</row>
    <row r="288" ht="14.25" customHeight="1">
      <c r="A288" s="4"/>
      <c r="B288" s="20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</row>
    <row r="289" ht="14.25" customHeight="1">
      <c r="A289" s="4"/>
      <c r="B289" s="20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</row>
    <row r="290" ht="14.25" customHeight="1">
      <c r="A290" s="4"/>
      <c r="B290" s="20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</row>
    <row r="291" ht="14.25" customHeight="1">
      <c r="A291" s="4"/>
      <c r="B291" s="20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</row>
    <row r="292" ht="14.25" customHeight="1">
      <c r="A292" s="4"/>
      <c r="B292" s="20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</row>
    <row r="293" ht="14.25" customHeight="1">
      <c r="A293" s="4"/>
      <c r="B293" s="20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</row>
    <row r="294" ht="14.25" customHeight="1">
      <c r="A294" s="4"/>
      <c r="B294" s="20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</row>
    <row r="295" ht="14.25" customHeight="1">
      <c r="A295" s="4"/>
      <c r="B295" s="20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</row>
    <row r="296" ht="14.25" customHeight="1">
      <c r="A296" s="4"/>
      <c r="B296" s="20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</row>
    <row r="297" ht="14.25" customHeight="1">
      <c r="A297" s="4"/>
      <c r="B297" s="20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</row>
    <row r="298" ht="14.25" customHeight="1">
      <c r="A298" s="4"/>
      <c r="B298" s="20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</row>
    <row r="299" ht="14.25" customHeight="1">
      <c r="A299" s="4"/>
      <c r="B299" s="20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</row>
    <row r="300" ht="14.25" customHeight="1">
      <c r="A300" s="4"/>
      <c r="B300" s="20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</row>
    <row r="301" ht="14.25" customHeight="1">
      <c r="A301" s="4"/>
      <c r="B301" s="20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</row>
    <row r="302" ht="14.25" customHeight="1">
      <c r="A302" s="4"/>
      <c r="B302" s="20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</row>
    <row r="303" ht="14.25" customHeight="1">
      <c r="A303" s="4"/>
      <c r="B303" s="20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</row>
    <row r="304" ht="14.25" customHeight="1">
      <c r="A304" s="4"/>
      <c r="B304" s="20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</row>
    <row r="305" ht="14.25" customHeight="1">
      <c r="A305" s="4"/>
      <c r="B305" s="20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</row>
    <row r="306" ht="14.25" customHeight="1">
      <c r="A306" s="4"/>
      <c r="B306" s="20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</row>
    <row r="307" ht="14.25" customHeight="1">
      <c r="A307" s="4"/>
      <c r="B307" s="20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</row>
    <row r="308" ht="14.25" customHeight="1">
      <c r="A308" s="4"/>
      <c r="B308" s="20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</row>
    <row r="309" ht="14.25" customHeight="1">
      <c r="A309" s="4"/>
      <c r="B309" s="20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</row>
    <row r="310" ht="14.25" customHeight="1">
      <c r="A310" s="4"/>
      <c r="B310" s="20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</row>
    <row r="311" ht="14.25" customHeight="1">
      <c r="A311" s="4"/>
      <c r="B311" s="20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</row>
    <row r="312" ht="14.25" customHeight="1">
      <c r="A312" s="4"/>
      <c r="B312" s="20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</row>
    <row r="313" ht="14.25" customHeight="1">
      <c r="A313" s="4"/>
      <c r="B313" s="20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</row>
    <row r="314" ht="14.25" customHeight="1">
      <c r="A314" s="4"/>
      <c r="B314" s="21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</row>
    <row r="315" ht="14.25" customHeight="1">
      <c r="A315" s="4"/>
      <c r="B315" s="21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</row>
    <row r="316" ht="14.25" customHeight="1">
      <c r="A316" s="4"/>
      <c r="B316" s="21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</row>
    <row r="317" ht="14.25" customHeight="1">
      <c r="A317" s="4"/>
      <c r="B317" s="21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</row>
    <row r="318" ht="14.25" customHeight="1">
      <c r="A318" s="4"/>
      <c r="B318" s="21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</row>
    <row r="319" ht="14.25" customHeight="1">
      <c r="A319" s="4"/>
      <c r="B319" s="21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</row>
    <row r="320" ht="14.25" customHeight="1">
      <c r="A320" s="4"/>
      <c r="B320" s="21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</row>
    <row r="321" ht="14.25" customHeight="1">
      <c r="A321" s="4"/>
      <c r="B321" s="21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</row>
    <row r="322" ht="14.25" customHeight="1">
      <c r="A322" s="4"/>
      <c r="B322" s="21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</row>
    <row r="323" ht="14.25" customHeight="1">
      <c r="A323" s="4"/>
      <c r="B323" s="21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</row>
    <row r="324" ht="14.25" customHeight="1">
      <c r="A324" s="4"/>
      <c r="B324" s="21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</row>
    <row r="325" ht="14.25" customHeight="1">
      <c r="A325" s="4"/>
      <c r="B325" s="21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</row>
    <row r="326" ht="14.25" customHeight="1">
      <c r="A326" s="4"/>
      <c r="B326" s="21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</row>
    <row r="327" ht="14.25" customHeight="1">
      <c r="A327" s="4"/>
      <c r="B327" s="21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</row>
    <row r="328" ht="14.25" customHeight="1">
      <c r="A328" s="4"/>
      <c r="B328" s="21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</row>
    <row r="329" ht="14.25" customHeight="1">
      <c r="A329" s="4"/>
      <c r="B329" s="21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</row>
    <row r="330" ht="14.25" customHeight="1">
      <c r="A330" s="4"/>
      <c r="B330" s="21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</row>
    <row r="331" ht="14.25" customHeight="1">
      <c r="A331" s="4"/>
      <c r="B331" s="21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</row>
    <row r="332" ht="14.25" customHeight="1">
      <c r="A332" s="4"/>
      <c r="B332" s="21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</row>
    <row r="333" ht="14.25" customHeight="1">
      <c r="A333" s="4"/>
      <c r="B333" s="21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</row>
    <row r="334" ht="14.25" customHeight="1">
      <c r="A334" s="4"/>
      <c r="B334" s="21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</row>
    <row r="335" ht="14.25" customHeight="1">
      <c r="A335" s="4"/>
      <c r="B335" s="21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</row>
    <row r="336" ht="14.25" customHeight="1">
      <c r="A336" s="4"/>
      <c r="B336" s="21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</row>
    <row r="337" ht="14.25" customHeight="1">
      <c r="A337" s="4"/>
      <c r="B337" s="21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</row>
    <row r="338" ht="14.25" customHeight="1">
      <c r="A338" s="4"/>
      <c r="B338" s="21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</row>
    <row r="339" ht="14.25" customHeight="1">
      <c r="A339" s="4"/>
      <c r="B339" s="21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</row>
    <row r="340" ht="14.25" customHeight="1">
      <c r="A340" s="4"/>
      <c r="B340" s="21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</row>
    <row r="341" ht="14.25" customHeight="1">
      <c r="A341" s="4"/>
      <c r="B341" s="21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</row>
    <row r="342" ht="14.25" customHeight="1">
      <c r="A342" s="4"/>
      <c r="B342" s="21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</row>
    <row r="343" ht="14.25" customHeight="1">
      <c r="A343" s="4"/>
      <c r="B343" s="21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</row>
    <row r="344" ht="14.25" customHeight="1">
      <c r="A344" s="4"/>
      <c r="B344" s="21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</row>
    <row r="345" ht="14.25" customHeight="1">
      <c r="A345" s="4"/>
      <c r="B345" s="21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</row>
    <row r="346" ht="14.25" customHeight="1">
      <c r="A346" s="4"/>
      <c r="B346" s="21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</row>
    <row r="347" ht="14.25" customHeight="1">
      <c r="A347" s="4"/>
      <c r="B347" s="21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</row>
    <row r="348" ht="14.25" customHeight="1">
      <c r="A348" s="4"/>
      <c r="B348" s="21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</row>
    <row r="349" ht="14.25" customHeight="1">
      <c r="A349" s="4"/>
      <c r="B349" s="21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</row>
    <row r="350" ht="14.25" customHeight="1">
      <c r="A350" s="4"/>
      <c r="B350" s="21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</row>
    <row r="351" ht="14.25" customHeight="1">
      <c r="A351" s="4"/>
      <c r="B351" s="21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</row>
    <row r="352" ht="14.25" customHeight="1">
      <c r="A352" s="4"/>
      <c r="B352" s="21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</row>
    <row r="353" ht="14.25" customHeight="1">
      <c r="A353" s="4"/>
      <c r="B353" s="21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</row>
    <row r="354" ht="14.25" customHeight="1">
      <c r="A354" s="4"/>
      <c r="B354" s="21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</row>
    <row r="355" ht="14.25" customHeight="1">
      <c r="A355" s="4"/>
      <c r="B355" s="21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</row>
    <row r="356" ht="14.25" customHeight="1">
      <c r="A356" s="4"/>
      <c r="B356" s="21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</row>
    <row r="357" ht="14.25" customHeight="1">
      <c r="A357" s="4"/>
      <c r="B357" s="21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</row>
    <row r="358" ht="14.25" customHeight="1">
      <c r="A358" s="4"/>
      <c r="B358" s="21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</row>
    <row r="359" ht="14.25" customHeight="1">
      <c r="A359" s="4"/>
      <c r="B359" s="21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</row>
    <row r="360" ht="14.25" customHeight="1">
      <c r="A360" s="4"/>
      <c r="B360" s="21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</row>
    <row r="361" ht="14.25" customHeight="1">
      <c r="A361" s="4"/>
      <c r="B361" s="21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</row>
    <row r="362" ht="14.25" customHeight="1">
      <c r="A362" s="4"/>
      <c r="B362" s="21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</row>
    <row r="363" ht="14.25" customHeight="1">
      <c r="A363" s="4"/>
      <c r="B363" s="21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</row>
    <row r="364" ht="14.25" customHeight="1">
      <c r="A364" s="4"/>
      <c r="B364" s="21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</row>
    <row r="365" ht="14.25" customHeight="1">
      <c r="A365" s="4"/>
      <c r="B365" s="21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</row>
    <row r="366" ht="14.25" customHeight="1">
      <c r="A366" s="4"/>
      <c r="B366" s="21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</row>
    <row r="367" ht="14.25" customHeight="1">
      <c r="A367" s="4"/>
      <c r="B367" s="21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</row>
    <row r="368" ht="14.25" customHeight="1">
      <c r="A368" s="4"/>
      <c r="B368" s="21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</row>
    <row r="369" ht="14.25" customHeight="1">
      <c r="A369" s="4"/>
      <c r="B369" s="21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</row>
    <row r="370" ht="14.25" customHeight="1">
      <c r="A370" s="4"/>
      <c r="B370" s="21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</row>
    <row r="371" ht="14.25" customHeight="1">
      <c r="A371" s="4"/>
      <c r="B371" s="21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</row>
    <row r="372" ht="14.25" customHeight="1">
      <c r="A372" s="4"/>
      <c r="B372" s="21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</row>
    <row r="373" ht="14.25" customHeight="1">
      <c r="A373" s="4"/>
      <c r="B373" s="21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</row>
    <row r="374" ht="14.25" customHeight="1">
      <c r="A374" s="4"/>
      <c r="B374" s="21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</row>
    <row r="375" ht="14.25" customHeight="1">
      <c r="A375" s="4"/>
      <c r="B375" s="21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</row>
    <row r="376" ht="14.25" customHeight="1">
      <c r="A376" s="4"/>
      <c r="B376" s="21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</row>
    <row r="377" ht="14.25" customHeight="1">
      <c r="A377" s="4"/>
      <c r="B377" s="21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</row>
    <row r="378" ht="14.25" customHeight="1">
      <c r="A378" s="4"/>
      <c r="B378" s="21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</row>
    <row r="379" ht="14.25" customHeight="1">
      <c r="A379" s="4"/>
      <c r="B379" s="21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</row>
    <row r="380" ht="14.25" customHeight="1">
      <c r="A380" s="4"/>
      <c r="B380" s="21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</row>
    <row r="381" ht="14.25" customHeight="1">
      <c r="A381" s="4"/>
      <c r="B381" s="21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</row>
    <row r="382" ht="14.25" customHeight="1">
      <c r="A382" s="4"/>
      <c r="B382" s="21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</row>
    <row r="383" ht="14.25" customHeight="1">
      <c r="A383" s="4"/>
      <c r="B383" s="21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</row>
    <row r="384" ht="14.25" customHeight="1">
      <c r="A384" s="4"/>
      <c r="B384" s="21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</row>
    <row r="385" ht="14.25" customHeight="1">
      <c r="A385" s="4"/>
      <c r="B385" s="21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</row>
    <row r="386" ht="14.25" customHeight="1">
      <c r="A386" s="4"/>
      <c r="B386" s="21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</row>
    <row r="387" ht="14.25" customHeight="1">
      <c r="A387" s="4"/>
      <c r="B387" s="21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</row>
    <row r="388" ht="14.25" customHeight="1">
      <c r="A388" s="4"/>
      <c r="B388" s="21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</row>
    <row r="389" ht="14.25" customHeight="1">
      <c r="A389" s="4"/>
      <c r="B389" s="21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</row>
    <row r="390" ht="14.25" customHeight="1">
      <c r="A390" s="4"/>
      <c r="B390" s="21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</row>
    <row r="391" ht="14.25" customHeight="1">
      <c r="A391" s="4"/>
      <c r="B391" s="21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</row>
    <row r="392" ht="14.25" customHeight="1">
      <c r="A392" s="4"/>
      <c r="B392" s="21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</row>
    <row r="393" ht="14.25" customHeight="1">
      <c r="A393" s="4"/>
      <c r="B393" s="21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</row>
    <row r="394" ht="14.25" customHeight="1">
      <c r="A394" s="4"/>
      <c r="B394" s="21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</row>
    <row r="395" ht="14.25" customHeight="1">
      <c r="A395" s="4"/>
      <c r="B395" s="21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</row>
    <row r="396" ht="14.25" customHeight="1">
      <c r="A396" s="4"/>
      <c r="B396" s="21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</row>
    <row r="397" ht="14.25" customHeight="1">
      <c r="A397" s="4"/>
      <c r="B397" s="21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</row>
    <row r="398" ht="14.25" customHeight="1">
      <c r="A398" s="4"/>
      <c r="B398" s="21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</row>
    <row r="399" ht="14.25" customHeight="1">
      <c r="A399" s="4"/>
      <c r="B399" s="21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</row>
    <row r="400" ht="14.25" customHeight="1">
      <c r="A400" s="4"/>
      <c r="B400" s="21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</row>
    <row r="401" ht="14.25" customHeight="1">
      <c r="A401" s="4"/>
      <c r="B401" s="21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</row>
    <row r="402" ht="14.25" customHeight="1">
      <c r="A402" s="4"/>
      <c r="B402" s="21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</row>
    <row r="403" ht="14.25" customHeight="1">
      <c r="A403" s="4"/>
      <c r="B403" s="21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</row>
    <row r="404" ht="14.25" customHeight="1">
      <c r="A404" s="4"/>
      <c r="B404" s="21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</row>
    <row r="405" ht="14.25" customHeight="1">
      <c r="A405" s="4"/>
      <c r="B405" s="21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</row>
    <row r="406" ht="14.25" customHeight="1">
      <c r="A406" s="4"/>
      <c r="B406" s="21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</row>
    <row r="407" ht="14.25" customHeight="1">
      <c r="A407" s="4"/>
      <c r="B407" s="21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</row>
    <row r="408" ht="14.25" customHeight="1">
      <c r="A408" s="4"/>
      <c r="B408" s="21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</row>
    <row r="409" ht="14.25" customHeight="1">
      <c r="A409" s="4"/>
      <c r="B409" s="21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</row>
    <row r="410" ht="14.25" customHeight="1">
      <c r="A410" s="4"/>
      <c r="B410" s="21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</row>
    <row r="411" ht="14.25" customHeight="1">
      <c r="A411" s="4"/>
      <c r="B411" s="21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</row>
    <row r="412" ht="14.25" customHeight="1">
      <c r="A412" s="4"/>
      <c r="B412" s="21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</row>
    <row r="413" ht="14.25" customHeight="1">
      <c r="A413" s="4"/>
      <c r="B413" s="21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</row>
    <row r="414" ht="14.25" customHeight="1">
      <c r="A414" s="4"/>
      <c r="B414" s="21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</row>
    <row r="415" ht="14.25" customHeight="1">
      <c r="A415" s="4"/>
      <c r="B415" s="21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</row>
    <row r="416" ht="14.25" customHeight="1">
      <c r="A416" s="4"/>
      <c r="B416" s="21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</row>
    <row r="417" ht="14.25" customHeight="1">
      <c r="A417" s="4"/>
      <c r="B417" s="21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</row>
    <row r="418" ht="14.25" customHeight="1">
      <c r="A418" s="4"/>
      <c r="B418" s="21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</row>
    <row r="419" ht="14.25" customHeight="1">
      <c r="A419" s="4"/>
      <c r="B419" s="21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</row>
    <row r="420" ht="14.25" customHeight="1">
      <c r="A420" s="4"/>
      <c r="B420" s="21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</row>
    <row r="421" ht="14.25" customHeight="1">
      <c r="A421" s="4"/>
      <c r="B421" s="21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</row>
    <row r="422" ht="14.25" customHeight="1">
      <c r="A422" s="4"/>
      <c r="B422" s="21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</row>
    <row r="423" ht="14.25" customHeight="1">
      <c r="A423" s="4"/>
      <c r="B423" s="21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</row>
    <row r="424" ht="14.25" customHeight="1">
      <c r="A424" s="4"/>
      <c r="B424" s="21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</row>
    <row r="425" ht="14.25" customHeight="1">
      <c r="A425" s="4"/>
      <c r="B425" s="21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</row>
    <row r="426" ht="14.25" customHeight="1">
      <c r="A426" s="4"/>
      <c r="B426" s="21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U426" s="4"/>
      <c r="V426" s="4"/>
      <c r="W426" s="4"/>
      <c r="X426" s="4"/>
      <c r="Y426" s="4"/>
      <c r="Z426" s="4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</row>
    <row r="427" ht="14.25" customHeight="1">
      <c r="A427" s="4"/>
      <c r="B427" s="21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U427" s="4"/>
      <c r="V427" s="4"/>
      <c r="W427" s="4"/>
      <c r="X427" s="4"/>
      <c r="Y427" s="4"/>
      <c r="Z427" s="4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</row>
    <row r="428" ht="14.25" customHeight="1">
      <c r="A428" s="22"/>
      <c r="B428" s="23"/>
    </row>
    <row r="429" ht="14.25" customHeight="1">
      <c r="A429" s="22"/>
      <c r="B429" s="23"/>
    </row>
    <row r="430" ht="14.25" customHeight="1">
      <c r="A430" s="22"/>
      <c r="B430" s="23"/>
    </row>
    <row r="431" ht="14.25" customHeight="1">
      <c r="A431" s="22"/>
      <c r="B431" s="23"/>
    </row>
    <row r="432" ht="14.25" customHeight="1">
      <c r="A432" s="22"/>
      <c r="B432" s="23"/>
    </row>
    <row r="433" ht="14.25" customHeight="1">
      <c r="A433" s="22"/>
      <c r="B433" s="23"/>
    </row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57"/>
    <col customWidth="1" min="3" max="3" width="21.57"/>
    <col customWidth="1" min="4" max="4" width="16.57"/>
    <col customWidth="1" min="5" max="5" width="13.86"/>
    <col customWidth="1" min="6" max="26" width="8.71"/>
  </cols>
  <sheetData>
    <row r="1" ht="14.25" customHeight="1">
      <c r="A1" s="24" t="s">
        <v>33</v>
      </c>
    </row>
    <row r="2" ht="14.25" customHeight="1"/>
    <row r="3" ht="14.25" customHeight="1">
      <c r="A3" s="25" t="s">
        <v>34</v>
      </c>
      <c r="B3" s="26"/>
    </row>
    <row r="4" ht="14.25" customHeight="1">
      <c r="A4" s="27" t="s">
        <v>35</v>
      </c>
      <c r="B4" s="27">
        <v>0.4119498929491522</v>
      </c>
    </row>
    <row r="5" ht="14.25" customHeight="1">
      <c r="A5" s="27" t="s">
        <v>36</v>
      </c>
      <c r="B5" s="27">
        <v>0.16970271430081793</v>
      </c>
    </row>
    <row r="6" ht="14.25" customHeight="1">
      <c r="A6" s="27" t="s">
        <v>37</v>
      </c>
      <c r="B6" s="27">
        <v>0.1660610595389794</v>
      </c>
    </row>
    <row r="7" ht="14.25" customHeight="1">
      <c r="A7" s="27" t="s">
        <v>38</v>
      </c>
      <c r="B7" s="27">
        <v>0.015967964075318038</v>
      </c>
    </row>
    <row r="8" ht="14.25" customHeight="1">
      <c r="A8" s="28" t="s">
        <v>39</v>
      </c>
      <c r="B8" s="28">
        <v>230.0</v>
      </c>
    </row>
    <row r="9" ht="14.25" customHeight="1"/>
    <row r="10" ht="14.25" customHeight="1">
      <c r="A10" s="24" t="s">
        <v>40</v>
      </c>
    </row>
    <row r="11" ht="14.25" customHeight="1">
      <c r="A11" s="25"/>
      <c r="B11" s="25" t="s">
        <v>41</v>
      </c>
      <c r="C11" s="25" t="s">
        <v>42</v>
      </c>
      <c r="D11" s="25" t="s">
        <v>43</v>
      </c>
      <c r="E11" s="25" t="s">
        <v>44</v>
      </c>
      <c r="F11" s="25" t="s">
        <v>45</v>
      </c>
    </row>
    <row r="12" ht="14.25" customHeight="1">
      <c r="A12" s="27" t="s">
        <v>46</v>
      </c>
      <c r="B12" s="27">
        <v>1.0</v>
      </c>
      <c r="C12" s="27">
        <v>0.01188198804907644</v>
      </c>
      <c r="D12" s="27">
        <v>0.01188198804907644</v>
      </c>
      <c r="E12" s="27">
        <v>46.600440019509755</v>
      </c>
      <c r="F12" s="27">
        <v>7.789121020596138E-11</v>
      </c>
    </row>
    <row r="13" ht="14.25" customHeight="1">
      <c r="A13" s="27" t="s">
        <v>47</v>
      </c>
      <c r="B13" s="27">
        <v>228.0</v>
      </c>
      <c r="C13" s="27">
        <v>0.05813449989002762</v>
      </c>
      <c r="D13" s="27">
        <v>2.5497587671064744E-4</v>
      </c>
      <c r="E13" s="27"/>
      <c r="F13" s="27"/>
    </row>
    <row r="14" ht="14.25" customHeight="1">
      <c r="A14" s="28" t="s">
        <v>48</v>
      </c>
      <c r="B14" s="28">
        <v>229.0</v>
      </c>
      <c r="C14" s="28">
        <v>0.07001648793910406</v>
      </c>
      <c r="D14" s="28"/>
      <c r="E14" s="28"/>
      <c r="F14" s="28"/>
    </row>
    <row r="15" ht="14.25" customHeight="1"/>
    <row r="16" ht="14.25" customHeight="1">
      <c r="A16" s="25"/>
      <c r="B16" s="25" t="s">
        <v>49</v>
      </c>
      <c r="C16" s="25" t="s">
        <v>38</v>
      </c>
      <c r="D16" s="25" t="s">
        <v>50</v>
      </c>
      <c r="E16" s="25" t="s">
        <v>51</v>
      </c>
      <c r="F16" s="25" t="s">
        <v>52</v>
      </c>
      <c r="G16" s="25" t="s">
        <v>53</v>
      </c>
      <c r="H16" s="25" t="s">
        <v>54</v>
      </c>
      <c r="I16" s="25" t="s">
        <v>55</v>
      </c>
    </row>
    <row r="17" ht="14.25" customHeight="1">
      <c r="A17" s="27" t="s">
        <v>56</v>
      </c>
      <c r="B17" s="27">
        <v>0.0012988145443783609</v>
      </c>
      <c r="C17" s="27">
        <v>0.0010541007068941503</v>
      </c>
      <c r="D17" s="27">
        <v>1.232154134689129</v>
      </c>
      <c r="E17" s="27">
        <v>0.2191606696541452</v>
      </c>
      <c r="F17" s="27">
        <v>-7.782099380086872E-4</v>
      </c>
      <c r="G17" s="27">
        <v>0.0033758390267654087</v>
      </c>
      <c r="H17" s="27">
        <v>-7.782099380086872E-4</v>
      </c>
      <c r="I17" s="27">
        <v>0.0033758390267654087</v>
      </c>
    </row>
    <row r="18" ht="14.25" customHeight="1">
      <c r="A18" s="28" t="s">
        <v>57</v>
      </c>
      <c r="B18" s="28">
        <v>0.7161410266406126</v>
      </c>
      <c r="C18" s="28">
        <v>0.10490677727947574</v>
      </c>
      <c r="D18" s="28">
        <v>6.826451495433751</v>
      </c>
      <c r="E18" s="28">
        <v>7.789121020596421E-11</v>
      </c>
      <c r="F18" s="28">
        <v>0.5094302794105791</v>
      </c>
      <c r="G18" s="28">
        <v>0.9228517738706462</v>
      </c>
      <c r="H18" s="28">
        <v>0.5094302794105791</v>
      </c>
      <c r="I18" s="28">
        <v>0.9228517738706462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29" t="s">
        <v>58</v>
      </c>
      <c r="B1" s="1" t="s">
        <v>59</v>
      </c>
      <c r="C1" s="1" t="s">
        <v>60</v>
      </c>
      <c r="D1" s="19" t="s">
        <v>22</v>
      </c>
    </row>
    <row r="2">
      <c r="A2" s="30">
        <v>1.0</v>
      </c>
      <c r="B2" s="30">
        <v>-0.45</v>
      </c>
      <c r="C2" s="30">
        <v>-0.12</v>
      </c>
    </row>
    <row r="3">
      <c r="A3" s="31">
        <v>0.31</v>
      </c>
      <c r="B3" s="31">
        <v>-0.31</v>
      </c>
      <c r="C3" s="31">
        <v>0.34</v>
      </c>
      <c r="D3" s="19">
        <v>0.011402284893292057</v>
      </c>
    </row>
    <row r="4">
      <c r="A4" s="30">
        <v>1.11</v>
      </c>
      <c r="B4" s="30">
        <v>0.25</v>
      </c>
      <c r="C4" s="30">
        <v>0.3</v>
      </c>
      <c r="D4" s="19">
        <v>-0.00447759967920376</v>
      </c>
    </row>
    <row r="5">
      <c r="A5" s="31">
        <v>0.21</v>
      </c>
      <c r="B5" s="31">
        <v>-0.57</v>
      </c>
      <c r="C5" s="31">
        <v>0.07</v>
      </c>
      <c r="D5" s="19">
        <v>-0.0101227847127003</v>
      </c>
    </row>
    <row r="6">
      <c r="A6" s="30">
        <v>-0.71</v>
      </c>
      <c r="B6" s="30">
        <v>-0.37</v>
      </c>
      <c r="C6" s="30">
        <v>-0.27</v>
      </c>
      <c r="D6" s="19">
        <v>0.005143222302703788</v>
      </c>
    </row>
    <row r="7">
      <c r="A7" s="31">
        <v>-0.77</v>
      </c>
      <c r="B7" s="31">
        <v>-0.5</v>
      </c>
      <c r="C7" s="31">
        <v>0.53</v>
      </c>
      <c r="D7" s="19">
        <v>0.015233354546419659</v>
      </c>
    </row>
    <row r="8">
      <c r="A8" s="30">
        <v>0.77</v>
      </c>
      <c r="B8" s="30">
        <v>-0.48</v>
      </c>
      <c r="C8" s="30">
        <v>0.41</v>
      </c>
      <c r="D8" s="19">
        <v>0.002780845398525099</v>
      </c>
    </row>
    <row r="9">
      <c r="A9" s="31">
        <v>0.13</v>
      </c>
      <c r="B9" s="31">
        <v>0.36</v>
      </c>
      <c r="C9" s="31">
        <v>0.3</v>
      </c>
      <c r="D9" s="19">
        <v>0.010708316713746545</v>
      </c>
    </row>
    <row r="10">
      <c r="A10" s="30">
        <v>-1.32</v>
      </c>
      <c r="B10" s="30">
        <v>0.07</v>
      </c>
      <c r="C10" s="30">
        <v>0.12</v>
      </c>
      <c r="D10" s="19">
        <v>0.006276655162233495</v>
      </c>
    </row>
    <row r="11">
      <c r="A11" s="31">
        <v>-0.91</v>
      </c>
      <c r="B11" s="31">
        <v>-0.01</v>
      </c>
      <c r="C11" s="31">
        <v>-0.06</v>
      </c>
      <c r="D11" s="19">
        <v>-2.0596747761988374E-4</v>
      </c>
    </row>
    <row r="12">
      <c r="A12" s="30">
        <v>-1.19</v>
      </c>
      <c r="B12" s="30">
        <v>0.28</v>
      </c>
      <c r="C12" s="30">
        <v>0.04</v>
      </c>
      <c r="D12" s="19">
        <v>-0.004195725846307743</v>
      </c>
    </row>
    <row r="13">
      <c r="A13" s="31">
        <v>-0.13</v>
      </c>
      <c r="B13" s="31">
        <v>-0.41</v>
      </c>
      <c r="C13" s="31">
        <v>-0.29</v>
      </c>
      <c r="D13" s="19">
        <v>-0.0025898179658474826</v>
      </c>
    </row>
    <row r="14">
      <c r="A14" s="30">
        <v>0.42</v>
      </c>
      <c r="B14" s="30">
        <v>0.04</v>
      </c>
      <c r="C14" s="30">
        <v>-0.62</v>
      </c>
      <c r="D14" s="19">
        <v>-0.0019243700520177466</v>
      </c>
    </row>
    <row r="15">
      <c r="A15" s="31">
        <v>-1.09</v>
      </c>
      <c r="B15" s="31">
        <v>-0.06</v>
      </c>
      <c r="C15" s="31">
        <v>0.31</v>
      </c>
      <c r="D15" s="19">
        <v>3.1661303863051055E-5</v>
      </c>
    </row>
    <row r="16">
      <c r="A16" s="30">
        <v>-0.33</v>
      </c>
      <c r="B16" s="30">
        <v>0.48</v>
      </c>
      <c r="C16" s="30">
        <v>-0.23</v>
      </c>
      <c r="D16" s="19">
        <v>-0.0040068237279390915</v>
      </c>
    </row>
    <row r="17">
      <c r="A17" s="31">
        <v>0.89</v>
      </c>
      <c r="B17" s="31">
        <v>-0.52</v>
      </c>
      <c r="C17" s="31">
        <v>-0.22</v>
      </c>
      <c r="D17" s="19">
        <v>-0.00753441332463077</v>
      </c>
    </row>
    <row r="18">
      <c r="A18" s="30">
        <v>0.36</v>
      </c>
      <c r="B18" s="30">
        <v>0.02</v>
      </c>
      <c r="C18" s="30">
        <v>0.04</v>
      </c>
      <c r="D18" s="19">
        <v>-0.02617716243346326</v>
      </c>
    </row>
    <row r="19">
      <c r="A19" s="31">
        <v>1.03</v>
      </c>
      <c r="B19" s="31">
        <v>-0.45</v>
      </c>
      <c r="C19" s="31">
        <v>0.08</v>
      </c>
      <c r="D19" s="19">
        <v>0.01304381900503918</v>
      </c>
    </row>
    <row r="20">
      <c r="A20" s="30">
        <v>1.91</v>
      </c>
      <c r="B20" s="30">
        <v>0.16</v>
      </c>
      <c r="C20" s="30">
        <v>0.04</v>
      </c>
      <c r="D20" s="19">
        <v>-0.006219988578068666</v>
      </c>
    </row>
    <row r="21" ht="15.75" customHeight="1">
      <c r="A21" s="31">
        <v>1.17</v>
      </c>
      <c r="B21" s="31">
        <v>0.9</v>
      </c>
      <c r="C21" s="31">
        <v>0.24</v>
      </c>
      <c r="D21" s="19">
        <v>7.716310013060511E-4</v>
      </c>
    </row>
    <row r="22" ht="15.75" customHeight="1">
      <c r="A22" s="30">
        <v>0.02</v>
      </c>
      <c r="B22" s="30">
        <v>-0.35</v>
      </c>
      <c r="C22" s="30">
        <v>-0.82</v>
      </c>
      <c r="D22" s="19">
        <v>-0.0035185265103165092</v>
      </c>
    </row>
    <row r="23" ht="15.75" customHeight="1">
      <c r="A23" s="31">
        <v>-0.08</v>
      </c>
      <c r="B23" s="31">
        <v>-0.35</v>
      </c>
      <c r="C23" s="31">
        <v>-0.96</v>
      </c>
      <c r="D23" s="19">
        <v>-0.0011037620236082105</v>
      </c>
    </row>
    <row r="24" ht="15.75" customHeight="1">
      <c r="A24" s="30">
        <v>-0.1</v>
      </c>
      <c r="B24" s="30">
        <v>-0.47</v>
      </c>
      <c r="C24" s="30">
        <v>-0.83</v>
      </c>
      <c r="D24" s="19">
        <v>-0.005144365012247316</v>
      </c>
    </row>
    <row r="25" ht="15.75" customHeight="1">
      <c r="A25" s="31">
        <v>-0.4</v>
      </c>
      <c r="B25" s="31">
        <v>0.0</v>
      </c>
      <c r="C25" s="31">
        <v>0.21</v>
      </c>
      <c r="D25" s="19">
        <v>-8.23426991127489E-4</v>
      </c>
    </row>
    <row r="26" ht="15.75" customHeight="1">
      <c r="A26" s="30">
        <v>0.76</v>
      </c>
      <c r="B26" s="30">
        <v>-0.72</v>
      </c>
      <c r="C26" s="30">
        <v>0.01</v>
      </c>
      <c r="D26" s="19">
        <v>-0.009153598875727477</v>
      </c>
    </row>
    <row r="27" ht="15.75" customHeight="1">
      <c r="A27" s="31">
        <v>0.13</v>
      </c>
      <c r="B27" s="31">
        <v>-0.14</v>
      </c>
      <c r="C27" s="31">
        <v>0.13</v>
      </c>
      <c r="D27" s="19">
        <v>0.005934782431694109</v>
      </c>
    </row>
    <row r="28" ht="15.75" customHeight="1">
      <c r="A28" s="30">
        <v>2.3</v>
      </c>
      <c r="B28" s="30">
        <v>1.24</v>
      </c>
      <c r="C28" s="30">
        <v>0.32</v>
      </c>
      <c r="D28" s="19">
        <v>0.00492279703919149</v>
      </c>
    </row>
    <row r="29" ht="15.75" customHeight="1">
      <c r="A29" s="31">
        <v>0.26</v>
      </c>
      <c r="B29" s="31">
        <v>0.15</v>
      </c>
      <c r="C29" s="31">
        <v>-0.09</v>
      </c>
      <c r="D29" s="19">
        <v>-0.0032962995429616742</v>
      </c>
    </row>
    <row r="30" ht="15.75" customHeight="1">
      <c r="A30" s="30">
        <v>-0.25</v>
      </c>
      <c r="B30" s="30">
        <v>-0.85</v>
      </c>
      <c r="C30" s="30">
        <v>-0.15</v>
      </c>
      <c r="D30" s="19">
        <v>-0.00588139828889554</v>
      </c>
    </row>
    <row r="31" ht="15.75" customHeight="1">
      <c r="A31" s="31">
        <v>0.64</v>
      </c>
      <c r="B31" s="31">
        <v>0.68</v>
      </c>
      <c r="C31" s="31">
        <v>0.48</v>
      </c>
      <c r="D31" s="19">
        <v>0.0011604775791875272</v>
      </c>
    </row>
    <row r="32" ht="15.75" customHeight="1">
      <c r="A32" s="30">
        <v>0.6</v>
      </c>
      <c r="B32" s="30">
        <v>0.02</v>
      </c>
      <c r="C32" s="30">
        <v>-0.48</v>
      </c>
      <c r="D32" s="19">
        <v>-8.859981663043064E-4</v>
      </c>
    </row>
    <row r="33" ht="15.75" customHeight="1">
      <c r="A33" s="31">
        <v>-0.33</v>
      </c>
      <c r="B33" s="31">
        <v>-0.34</v>
      </c>
      <c r="C33" s="31">
        <v>-0.37</v>
      </c>
      <c r="D33" s="19">
        <v>0.010817789350051255</v>
      </c>
    </row>
    <row r="34" ht="15.75" customHeight="1">
      <c r="A34" s="30">
        <v>0.25</v>
      </c>
      <c r="B34" s="30">
        <v>-0.13</v>
      </c>
      <c r="C34" s="30">
        <v>0.08</v>
      </c>
      <c r="D34" s="19">
        <v>-0.0020920341251188003</v>
      </c>
    </row>
    <row r="35" ht="15.75" customHeight="1">
      <c r="A35" s="31">
        <v>0.06</v>
      </c>
      <c r="B35" s="31">
        <v>0.0</v>
      </c>
      <c r="C35" s="31">
        <v>0.14</v>
      </c>
      <c r="D35" s="19">
        <v>0.001859396608648957</v>
      </c>
    </row>
    <row r="36" ht="15.75" customHeight="1">
      <c r="A36" s="30">
        <v>0.25</v>
      </c>
      <c r="B36" s="30">
        <v>0.31</v>
      </c>
      <c r="C36" s="30">
        <v>0.31</v>
      </c>
      <c r="D36" s="19">
        <v>-0.010294288465994538</v>
      </c>
    </row>
    <row r="37" ht="15.75" customHeight="1">
      <c r="A37" s="31">
        <v>-0.19</v>
      </c>
      <c r="B37" s="31">
        <v>0.14</v>
      </c>
      <c r="C37" s="31">
        <v>-0.02</v>
      </c>
      <c r="D37" s="19">
        <v>-0.017060304576351295</v>
      </c>
    </row>
    <row r="38" ht="15.75" customHeight="1">
      <c r="A38" s="30">
        <v>0.1</v>
      </c>
      <c r="B38" s="30">
        <v>0.16</v>
      </c>
      <c r="C38" s="30">
        <v>0.02</v>
      </c>
      <c r="D38" s="19">
        <v>0.016701271397519174</v>
      </c>
    </row>
    <row r="39" ht="15.75" customHeight="1">
      <c r="A39" s="31">
        <v>0.04</v>
      </c>
      <c r="B39" s="31">
        <v>0.34</v>
      </c>
      <c r="C39" s="31">
        <v>-0.06</v>
      </c>
      <c r="D39" s="19">
        <v>-0.010359095076972113</v>
      </c>
    </row>
    <row r="40" ht="15.75" customHeight="1">
      <c r="A40" s="30">
        <v>0.15</v>
      </c>
      <c r="B40" s="30">
        <v>-0.61</v>
      </c>
      <c r="C40" s="30">
        <v>0.19</v>
      </c>
      <c r="D40" s="19">
        <v>-0.025046800049512066</v>
      </c>
    </row>
    <row r="41" ht="15.75" customHeight="1">
      <c r="A41" s="31">
        <v>0.87</v>
      </c>
      <c r="B41" s="31">
        <v>0.71</v>
      </c>
      <c r="C41" s="31">
        <v>0.76</v>
      </c>
      <c r="D41" s="19">
        <v>0.012487800913384235</v>
      </c>
    </row>
    <row r="42" ht="15.75" customHeight="1">
      <c r="A42" s="30">
        <v>-0.5</v>
      </c>
      <c r="B42" s="30">
        <v>0.43</v>
      </c>
      <c r="C42" s="30">
        <v>0.24</v>
      </c>
      <c r="D42" s="19">
        <v>-0.022973597760850735</v>
      </c>
    </row>
    <row r="43" ht="15.75" customHeight="1">
      <c r="A43" s="31">
        <v>-0.3</v>
      </c>
      <c r="B43" s="31">
        <v>-0.57</v>
      </c>
      <c r="C43" s="31">
        <v>-0.52</v>
      </c>
      <c r="D43" s="19">
        <v>0.004253172356362593</v>
      </c>
    </row>
    <row r="44" ht="15.75" customHeight="1">
      <c r="A44" s="30">
        <v>-0.03</v>
      </c>
      <c r="B44" s="30">
        <v>0.54</v>
      </c>
      <c r="C44" s="30">
        <v>0.06</v>
      </c>
      <c r="D44" s="19">
        <v>-0.020020158100017404</v>
      </c>
    </row>
    <row r="45" ht="15.75" customHeight="1">
      <c r="A45" s="31">
        <v>0.62</v>
      </c>
      <c r="B45" s="31">
        <v>-0.04</v>
      </c>
      <c r="C45" s="31">
        <v>0.23</v>
      </c>
      <c r="D45" s="19">
        <v>0.005250097834967259</v>
      </c>
    </row>
    <row r="46" ht="15.75" customHeight="1">
      <c r="A46" s="30">
        <v>0.22</v>
      </c>
      <c r="B46" s="30">
        <v>-0.35</v>
      </c>
      <c r="C46" s="30">
        <v>-0.1</v>
      </c>
      <c r="D46" s="19">
        <v>-0.008645767366094497</v>
      </c>
    </row>
    <row r="47" ht="15.75" customHeight="1">
      <c r="A47" s="31">
        <v>0.3</v>
      </c>
      <c r="B47" s="31">
        <v>-0.32</v>
      </c>
      <c r="C47" s="31">
        <v>0.07</v>
      </c>
      <c r="D47" s="19">
        <v>-0.04426429725038012</v>
      </c>
    </row>
    <row r="48" ht="15.75" customHeight="1">
      <c r="A48" s="30">
        <v>0.24</v>
      </c>
      <c r="B48" s="30">
        <v>-0.4</v>
      </c>
      <c r="C48" s="30">
        <v>-0.56</v>
      </c>
      <c r="D48" s="19">
        <v>-0.005641108903008213</v>
      </c>
    </row>
    <row r="49" ht="15.75" customHeight="1">
      <c r="A49" s="31">
        <v>1.38</v>
      </c>
      <c r="B49" s="31">
        <v>0.67</v>
      </c>
      <c r="C49" s="31">
        <v>0.53</v>
      </c>
      <c r="D49" s="19">
        <v>0.008265041578817967</v>
      </c>
    </row>
    <row r="50" ht="15.75" customHeight="1">
      <c r="A50" s="30">
        <v>0.83</v>
      </c>
      <c r="B50" s="30">
        <v>1.27</v>
      </c>
      <c r="C50" s="30">
        <v>0.6</v>
      </c>
      <c r="D50" s="19">
        <v>-0.019361283215937445</v>
      </c>
    </row>
    <row r="51" ht="15.75" customHeight="1">
      <c r="A51" s="31">
        <v>-0.2</v>
      </c>
      <c r="B51" s="31">
        <v>-0.04</v>
      </c>
      <c r="C51" s="31">
        <v>-0.52</v>
      </c>
      <c r="D51" s="19">
        <v>0.031241506653150657</v>
      </c>
    </row>
    <row r="52" ht="15.75" customHeight="1">
      <c r="A52" s="30">
        <v>0.18</v>
      </c>
      <c r="B52" s="30">
        <v>-0.47</v>
      </c>
      <c r="C52" s="30">
        <v>-0.03</v>
      </c>
      <c r="D52" s="19">
        <v>0.0051672763230135345</v>
      </c>
    </row>
    <row r="53" ht="15.75" customHeight="1">
      <c r="A53" s="31">
        <v>0.73</v>
      </c>
      <c r="B53" s="31">
        <v>0.63</v>
      </c>
      <c r="C53" s="31">
        <v>0.19</v>
      </c>
      <c r="D53" s="19">
        <v>0.014567079116681564</v>
      </c>
    </row>
    <row r="54" ht="15.75" customHeight="1">
      <c r="A54" s="30">
        <v>-1.02</v>
      </c>
      <c r="B54" s="30">
        <v>0.36</v>
      </c>
      <c r="C54" s="30">
        <v>0.03</v>
      </c>
      <c r="D54" s="19">
        <v>0.021398113260327662</v>
      </c>
    </row>
    <row r="55" ht="15.75" customHeight="1">
      <c r="A55" s="31">
        <v>0.87</v>
      </c>
      <c r="B55" s="31">
        <v>0.08</v>
      </c>
      <c r="C55" s="31">
        <v>0.07</v>
      </c>
      <c r="D55" s="19">
        <v>-0.003475018319695316</v>
      </c>
    </row>
    <row r="56" ht="15.75" customHeight="1">
      <c r="A56" s="30">
        <v>0.17</v>
      </c>
      <c r="B56" s="30">
        <v>0.37</v>
      </c>
      <c r="C56" s="30">
        <v>0.3</v>
      </c>
      <c r="D56" s="19">
        <v>-0.0026469517455325977</v>
      </c>
    </row>
    <row r="57" ht="15.75" customHeight="1">
      <c r="A57" s="31">
        <v>0.45</v>
      </c>
      <c r="B57" s="31">
        <v>0.45</v>
      </c>
      <c r="C57" s="31">
        <v>-0.18</v>
      </c>
      <c r="D57" s="19">
        <v>0.01673104927970538</v>
      </c>
    </row>
    <row r="58" ht="15.75" customHeight="1">
      <c r="A58" s="30">
        <v>-0.1</v>
      </c>
      <c r="B58" s="30">
        <v>0.09</v>
      </c>
      <c r="C58" s="30">
        <v>-0.16</v>
      </c>
      <c r="D58" s="19">
        <v>-0.004902792619937002</v>
      </c>
    </row>
    <row r="59" ht="15.75" customHeight="1">
      <c r="A59" s="31">
        <v>-0.22</v>
      </c>
      <c r="B59" s="31">
        <v>-0.23</v>
      </c>
      <c r="C59" s="31">
        <v>-0.12</v>
      </c>
      <c r="D59" s="19">
        <v>0.00506982048339239</v>
      </c>
    </row>
    <row r="60" ht="15.75" customHeight="1">
      <c r="A60" s="30">
        <v>-1.02</v>
      </c>
      <c r="B60" s="30">
        <v>-0.85</v>
      </c>
      <c r="C60" s="30">
        <v>0.18</v>
      </c>
      <c r="D60" s="19">
        <v>0.014667993370514675</v>
      </c>
    </row>
    <row r="61" ht="15.75" customHeight="1">
      <c r="A61" s="31">
        <v>-0.06</v>
      </c>
      <c r="B61" s="31">
        <v>0.17</v>
      </c>
      <c r="C61" s="31">
        <v>0.5</v>
      </c>
      <c r="D61" s="19">
        <v>0.0024850500119562233</v>
      </c>
    </row>
    <row r="62" ht="15.75" customHeight="1">
      <c r="A62" s="30">
        <v>0.06</v>
      </c>
      <c r="B62" s="30">
        <v>-0.55</v>
      </c>
      <c r="C62" s="30">
        <v>0.75</v>
      </c>
      <c r="D62" s="19">
        <v>-0.005168791350444153</v>
      </c>
    </row>
    <row r="63" ht="15.75" customHeight="1">
      <c r="A63" s="31">
        <v>1.06</v>
      </c>
      <c r="B63" s="31">
        <v>-0.01</v>
      </c>
      <c r="C63" s="31">
        <v>-0.69</v>
      </c>
      <c r="D63" s="19">
        <v>0.009517120689841105</v>
      </c>
    </row>
    <row r="64" ht="15.75" customHeight="1">
      <c r="A64" s="30">
        <v>-0.21</v>
      </c>
      <c r="B64" s="30">
        <v>0.16</v>
      </c>
      <c r="C64" s="30">
        <v>-0.85</v>
      </c>
      <c r="D64" s="19">
        <v>-2.2757889335965346E-4</v>
      </c>
    </row>
    <row r="65" ht="15.75" customHeight="1">
      <c r="A65" s="31">
        <v>0.38</v>
      </c>
      <c r="B65" s="31">
        <v>-0.28</v>
      </c>
      <c r="C65" s="31">
        <v>-0.42</v>
      </c>
      <c r="D65" s="19">
        <v>-0.0081919830856598</v>
      </c>
    </row>
    <row r="66" ht="15.75" customHeight="1">
      <c r="A66" s="30">
        <v>-0.07</v>
      </c>
      <c r="B66" s="30">
        <v>-0.19</v>
      </c>
      <c r="C66" s="30">
        <v>-0.35</v>
      </c>
      <c r="D66" s="19">
        <v>0.004141955846549161</v>
      </c>
    </row>
    <row r="67" ht="15.75" customHeight="1">
      <c r="A67" s="31">
        <v>0.16</v>
      </c>
      <c r="B67" s="31">
        <v>0.04</v>
      </c>
      <c r="C67" s="31">
        <v>-0.36</v>
      </c>
      <c r="D67" s="19">
        <v>0.013359325340464948</v>
      </c>
    </row>
    <row r="68" ht="15.75" customHeight="1">
      <c r="A68" s="30">
        <v>-0.1</v>
      </c>
      <c r="B68" s="30">
        <v>-0.13</v>
      </c>
      <c r="C68" s="30">
        <v>0.36</v>
      </c>
      <c r="D68" s="19">
        <v>0.00570262683021784</v>
      </c>
    </row>
    <row r="69" ht="15.75" customHeight="1">
      <c r="A69" s="31">
        <v>-0.78</v>
      </c>
      <c r="B69" s="31">
        <v>-0.65</v>
      </c>
      <c r="C69" s="31">
        <v>-0.29</v>
      </c>
      <c r="D69" s="19">
        <v>-0.005571744289071442</v>
      </c>
    </row>
    <row r="70" ht="15.75" customHeight="1">
      <c r="A70" s="30">
        <v>-0.77</v>
      </c>
      <c r="B70" s="30">
        <v>-0.21</v>
      </c>
      <c r="C70" s="30">
        <v>-0.13</v>
      </c>
      <c r="D70" s="19">
        <v>-0.002382013886840886</v>
      </c>
    </row>
    <row r="71" ht="15.75" customHeight="1">
      <c r="A71" s="31">
        <v>0.67</v>
      </c>
      <c r="B71" s="31">
        <v>-0.33</v>
      </c>
      <c r="C71" s="31">
        <v>-0.24</v>
      </c>
      <c r="D71" s="19">
        <v>0.0041102036963242185</v>
      </c>
    </row>
    <row r="72" ht="15.75" customHeight="1">
      <c r="A72" s="30">
        <v>0.85</v>
      </c>
      <c r="B72" s="30">
        <v>-0.57</v>
      </c>
      <c r="C72" s="30">
        <v>0.16</v>
      </c>
      <c r="D72" s="19">
        <v>-0.0029702629339845603</v>
      </c>
    </row>
    <row r="73" ht="15.75" customHeight="1">
      <c r="A73" s="31">
        <v>0.44</v>
      </c>
      <c r="B73" s="31">
        <v>0.75</v>
      </c>
      <c r="C73" s="31">
        <v>0.12</v>
      </c>
      <c r="D73" s="19">
        <v>0.005874326190538331</v>
      </c>
    </row>
    <row r="74" ht="15.75" customHeight="1">
      <c r="A74" s="30">
        <v>0.09</v>
      </c>
      <c r="B74" s="30">
        <v>-0.24</v>
      </c>
      <c r="C74" s="30">
        <v>-0.21</v>
      </c>
      <c r="D74" s="19">
        <v>-9.308918390155376E-5</v>
      </c>
    </row>
    <row r="75" ht="15.75" customHeight="1">
      <c r="A75" s="31">
        <v>0.27</v>
      </c>
      <c r="B75" s="31">
        <v>-0.23</v>
      </c>
      <c r="C75" s="31">
        <v>0.1</v>
      </c>
      <c r="D75" s="19">
        <v>-0.009568174336172809</v>
      </c>
    </row>
    <row r="76" ht="15.75" customHeight="1">
      <c r="A76" s="30">
        <v>0.33</v>
      </c>
      <c r="B76" s="30">
        <v>0.0</v>
      </c>
      <c r="C76" s="30">
        <v>0.38</v>
      </c>
      <c r="D76" s="19">
        <v>0.004602253467543204</v>
      </c>
    </row>
    <row r="77" ht="15.75" customHeight="1">
      <c r="A77" s="31">
        <v>0.13</v>
      </c>
      <c r="B77" s="31">
        <v>-0.16</v>
      </c>
      <c r="C77" s="31">
        <v>-0.08</v>
      </c>
      <c r="D77" s="19">
        <v>0.0028555998701817967</v>
      </c>
    </row>
    <row r="78" ht="15.75" customHeight="1">
      <c r="A78" s="30">
        <v>0.71</v>
      </c>
      <c r="B78" s="30">
        <v>0.14</v>
      </c>
      <c r="C78" s="30">
        <v>-0.21</v>
      </c>
      <c r="D78" s="19">
        <v>0.004931013123710217</v>
      </c>
    </row>
    <row r="79" ht="15.75" customHeight="1">
      <c r="A79" s="31">
        <v>-0.06</v>
      </c>
      <c r="B79" s="31">
        <v>-0.41</v>
      </c>
      <c r="C79" s="31">
        <v>0.31</v>
      </c>
      <c r="D79" s="19">
        <v>0.010165329554736357</v>
      </c>
    </row>
    <row r="80" ht="15.75" customHeight="1">
      <c r="A80" s="30">
        <v>-1.14</v>
      </c>
      <c r="B80" s="30">
        <v>0.39</v>
      </c>
      <c r="C80" s="30">
        <v>0.04</v>
      </c>
      <c r="D80" s="19">
        <v>0.026792202452763498</v>
      </c>
    </row>
    <row r="81" ht="15.75" customHeight="1">
      <c r="A81" s="31">
        <v>0.85</v>
      </c>
      <c r="B81" s="31">
        <v>-0.23</v>
      </c>
      <c r="C81" s="31">
        <v>-0.62</v>
      </c>
      <c r="D81" s="19">
        <v>-0.001335229767197345</v>
      </c>
    </row>
    <row r="82" ht="15.75" customHeight="1">
      <c r="A82" s="30">
        <v>0.32</v>
      </c>
      <c r="B82" s="30">
        <v>-1.03</v>
      </c>
      <c r="C82" s="30">
        <v>-0.58</v>
      </c>
      <c r="D82" s="19">
        <v>-0.005067755861380127</v>
      </c>
    </row>
    <row r="83" ht="15.75" customHeight="1">
      <c r="A83" s="31">
        <v>-0.45</v>
      </c>
      <c r="B83" s="31">
        <v>-0.38</v>
      </c>
      <c r="C83" s="31">
        <v>-0.59</v>
      </c>
      <c r="D83" s="19">
        <v>-6.870552441446353E-4</v>
      </c>
    </row>
    <row r="84" ht="15.75" customHeight="1">
      <c r="A84" s="30">
        <v>0.38</v>
      </c>
      <c r="B84" s="30">
        <v>0.3</v>
      </c>
      <c r="C84" s="30">
        <v>0.0</v>
      </c>
      <c r="D84" s="19">
        <v>6.339012839556497E-4</v>
      </c>
    </row>
    <row r="85" ht="15.75" customHeight="1">
      <c r="A85" s="31">
        <v>0.47</v>
      </c>
      <c r="B85" s="31">
        <v>-0.6</v>
      </c>
      <c r="C85" s="31">
        <v>-0.32</v>
      </c>
      <c r="D85" s="19">
        <v>0.011657753451215207</v>
      </c>
    </row>
    <row r="86" ht="15.75" customHeight="1">
      <c r="A86" s="30">
        <v>0.12</v>
      </c>
      <c r="B86" s="30">
        <v>0.27</v>
      </c>
      <c r="C86" s="30">
        <v>-0.17</v>
      </c>
      <c r="D86" s="19">
        <v>-0.019713950094720555</v>
      </c>
    </row>
    <row r="87" ht="15.75" customHeight="1">
      <c r="A87" s="31">
        <v>0.43</v>
      </c>
      <c r="B87" s="31">
        <v>0.09</v>
      </c>
      <c r="C87" s="31">
        <v>-0.47</v>
      </c>
      <c r="D87" s="19">
        <v>8.636984992452299E-4</v>
      </c>
    </row>
    <row r="88" ht="15.75" customHeight="1">
      <c r="A88" s="30">
        <v>0.12</v>
      </c>
      <c r="B88" s="30">
        <v>0.66</v>
      </c>
      <c r="C88" s="30">
        <v>0.76</v>
      </c>
      <c r="D88" s="19">
        <v>-0.004285132276314051</v>
      </c>
    </row>
    <row r="89" ht="15.75" customHeight="1">
      <c r="A89" s="31">
        <v>-1.41</v>
      </c>
      <c r="B89" s="31">
        <v>-0.79</v>
      </c>
      <c r="C89" s="31">
        <v>-0.2</v>
      </c>
      <c r="D89" s="19">
        <v>0.0015434163762403348</v>
      </c>
    </row>
    <row r="90" ht="15.75" customHeight="1">
      <c r="A90" s="30">
        <v>0.85</v>
      </c>
      <c r="B90" s="30">
        <v>0.09</v>
      </c>
      <c r="C90" s="30">
        <v>-0.06</v>
      </c>
      <c r="D90" s="19">
        <v>-0.007600608720620071</v>
      </c>
    </row>
    <row r="91" ht="15.75" customHeight="1">
      <c r="A91" s="31">
        <v>0.82</v>
      </c>
      <c r="B91" s="31">
        <v>0.29</v>
      </c>
      <c r="C91" s="31">
        <v>0.62</v>
      </c>
      <c r="D91" s="19">
        <v>0.003368242564282653</v>
      </c>
    </row>
    <row r="92" ht="15.75" customHeight="1">
      <c r="A92" s="30">
        <v>-0.11</v>
      </c>
      <c r="B92" s="30">
        <v>0.16</v>
      </c>
      <c r="C92" s="30">
        <v>0.0</v>
      </c>
      <c r="D92" s="19">
        <v>-0.016611497701051428</v>
      </c>
    </row>
    <row r="93" ht="15.75" customHeight="1">
      <c r="A93" s="31">
        <v>0.06</v>
      </c>
      <c r="B93" s="31">
        <v>0.11</v>
      </c>
      <c r="C93" s="31">
        <v>0.11</v>
      </c>
      <c r="D93" s="19">
        <v>0.004295908554571213</v>
      </c>
    </row>
    <row r="94" ht="15.75" customHeight="1">
      <c r="A94" s="30">
        <v>-0.47</v>
      </c>
      <c r="B94" s="30">
        <v>-0.3</v>
      </c>
      <c r="C94" s="30">
        <v>0.31</v>
      </c>
      <c r="D94" s="19">
        <v>-0.016059386578524452</v>
      </c>
    </row>
    <row r="95" ht="15.75" customHeight="1">
      <c r="A95" s="31">
        <v>-0.02</v>
      </c>
      <c r="B95" s="31">
        <v>-0.37</v>
      </c>
      <c r="C95" s="31">
        <v>0.37</v>
      </c>
      <c r="D95" s="19">
        <v>-0.0023254826318959768</v>
      </c>
    </row>
    <row r="96" ht="15.75" customHeight="1">
      <c r="A96" s="30">
        <v>1.58</v>
      </c>
      <c r="B96" s="30">
        <v>-1.02</v>
      </c>
      <c r="C96" s="30">
        <v>-0.86</v>
      </c>
      <c r="D96" s="19">
        <v>0.0038359147311146547</v>
      </c>
    </row>
    <row r="97" ht="15.75" customHeight="1">
      <c r="A97" s="31">
        <v>-0.17</v>
      </c>
      <c r="B97" s="31">
        <v>0.56</v>
      </c>
      <c r="C97" s="31">
        <v>-0.38</v>
      </c>
      <c r="D97" s="19">
        <v>0.023481610397850884</v>
      </c>
    </row>
    <row r="98" ht="15.75" customHeight="1">
      <c r="A98" s="30">
        <v>0.23</v>
      </c>
      <c r="B98" s="30">
        <v>0.41</v>
      </c>
      <c r="C98" s="30">
        <v>0.3</v>
      </c>
      <c r="D98" s="19">
        <v>-0.009073778858058804</v>
      </c>
    </row>
    <row r="99" ht="15.75" customHeight="1">
      <c r="A99" s="31">
        <v>-0.3</v>
      </c>
      <c r="B99" s="31">
        <v>-0.19</v>
      </c>
      <c r="C99" s="31">
        <v>0.05</v>
      </c>
      <c r="D99" s="19">
        <v>0.01211756861628102</v>
      </c>
    </row>
    <row r="100" ht="15.75" customHeight="1">
      <c r="A100" s="30">
        <v>0.31</v>
      </c>
      <c r="B100" s="30">
        <v>-0.24</v>
      </c>
      <c r="C100" s="30">
        <v>0.39</v>
      </c>
      <c r="D100" s="19">
        <v>-0.0024486491504139454</v>
      </c>
    </row>
    <row r="101" ht="15.75" customHeight="1">
      <c r="A101" s="31">
        <v>0.8</v>
      </c>
      <c r="B101" s="31">
        <v>-0.01</v>
      </c>
      <c r="C101" s="31">
        <v>-0.26</v>
      </c>
      <c r="D101" s="19">
        <v>0.0030046152161181043</v>
      </c>
    </row>
    <row r="102" ht="15.75" customHeight="1">
      <c r="A102" s="30">
        <v>-0.17</v>
      </c>
      <c r="B102" s="30">
        <v>-0.39</v>
      </c>
      <c r="C102" s="30">
        <v>0.21</v>
      </c>
      <c r="D102" s="19">
        <v>0.05267851708556787</v>
      </c>
    </row>
    <row r="103" ht="15.75" customHeight="1">
      <c r="A103" s="31">
        <v>-0.7</v>
      </c>
      <c r="B103" s="31">
        <v>0.15</v>
      </c>
      <c r="C103" s="31">
        <v>1.01</v>
      </c>
      <c r="D103" s="19">
        <v>-0.01956851872014367</v>
      </c>
    </row>
    <row r="104" ht="15.75" customHeight="1">
      <c r="A104" s="30">
        <v>0.63</v>
      </c>
      <c r="B104" s="30">
        <v>0.16</v>
      </c>
      <c r="C104" s="30">
        <v>0.03</v>
      </c>
      <c r="D104" s="19">
        <v>0.030004325682283076</v>
      </c>
    </row>
    <row r="105" ht="15.75" customHeight="1">
      <c r="A105" s="31">
        <v>1.05</v>
      </c>
      <c r="B105" s="31">
        <v>-0.2</v>
      </c>
      <c r="C105" s="31">
        <v>-0.29</v>
      </c>
      <c r="D105" s="19">
        <v>-0.00283705297374545</v>
      </c>
    </row>
    <row r="106" ht="15.75" customHeight="1">
      <c r="A106" s="30">
        <v>-0.38</v>
      </c>
      <c r="B106" s="30">
        <v>-0.48</v>
      </c>
      <c r="C106" s="30">
        <v>0.13</v>
      </c>
      <c r="D106" s="19">
        <v>0.0012661389738934893</v>
      </c>
    </row>
    <row r="107" ht="15.75" customHeight="1">
      <c r="A107" s="31">
        <v>0.79</v>
      </c>
      <c r="B107" s="31">
        <v>-0.58</v>
      </c>
      <c r="C107" s="31">
        <v>-0.7</v>
      </c>
      <c r="D107" s="19">
        <v>-0.008493770226926252</v>
      </c>
    </row>
    <row r="108" ht="15.75" customHeight="1">
      <c r="A108" s="30">
        <v>-0.01</v>
      </c>
      <c r="B108" s="30">
        <v>-0.04</v>
      </c>
      <c r="C108" s="30">
        <v>0.33</v>
      </c>
      <c r="D108" s="19">
        <v>0.019727449006613555</v>
      </c>
    </row>
    <row r="109" ht="15.75" customHeight="1">
      <c r="A109" s="31">
        <v>-0.48</v>
      </c>
      <c r="B109" s="31">
        <v>-0.41</v>
      </c>
      <c r="C109" s="31">
        <v>-0.45</v>
      </c>
      <c r="D109" s="19">
        <v>-0.00887895326933012</v>
      </c>
    </row>
    <row r="110" ht="15.75" customHeight="1">
      <c r="A110" s="30">
        <v>-0.45</v>
      </c>
      <c r="B110" s="30">
        <v>0.29</v>
      </c>
      <c r="C110" s="30">
        <v>1.04</v>
      </c>
      <c r="D110" s="19">
        <v>0.0014148929340935168</v>
      </c>
    </row>
    <row r="111" ht="15.75" customHeight="1">
      <c r="A111" s="31">
        <v>0.39</v>
      </c>
      <c r="B111" s="31">
        <v>-0.36</v>
      </c>
      <c r="C111" s="31">
        <v>-0.14</v>
      </c>
      <c r="D111" s="19">
        <v>-0.005656187540771042</v>
      </c>
    </row>
    <row r="112" ht="15.75" customHeight="1">
      <c r="A112" s="30">
        <v>0.37</v>
      </c>
      <c r="B112" s="30">
        <v>-0.24</v>
      </c>
      <c r="C112" s="30">
        <v>0.09</v>
      </c>
      <c r="D112" s="19">
        <v>-0.008411105998822187</v>
      </c>
    </row>
    <row r="113" ht="15.75" customHeight="1">
      <c r="A113" s="31">
        <v>0.8</v>
      </c>
      <c r="B113" s="31">
        <v>0.08</v>
      </c>
      <c r="C113" s="31">
        <v>0.34</v>
      </c>
      <c r="D113" s="19">
        <v>0.02129950673728095</v>
      </c>
    </row>
    <row r="114" ht="15.75" customHeight="1">
      <c r="A114" s="30">
        <v>0.4</v>
      </c>
      <c r="B114" s="30">
        <v>0.09</v>
      </c>
      <c r="C114" s="30">
        <v>0.55</v>
      </c>
      <c r="D114" s="19">
        <v>-0.008723384707842154</v>
      </c>
    </row>
    <row r="115" ht="15.75" customHeight="1">
      <c r="A115" s="31">
        <v>-0.26</v>
      </c>
      <c r="B115" s="31">
        <v>-0.35</v>
      </c>
      <c r="C115" s="31">
        <v>-0.14</v>
      </c>
      <c r="D115" s="19">
        <v>-0.021419538599571897</v>
      </c>
    </row>
    <row r="116" ht="15.75" customHeight="1">
      <c r="A116" s="30">
        <v>-0.22</v>
      </c>
      <c r="B116" s="30">
        <v>-0.02</v>
      </c>
      <c r="C116" s="30">
        <v>0.35</v>
      </c>
      <c r="D116" s="19">
        <v>0.01038069924066331</v>
      </c>
    </row>
    <row r="117" ht="15.75" customHeight="1">
      <c r="A117" s="31">
        <v>-0.12</v>
      </c>
      <c r="B117" s="31">
        <v>0.15</v>
      </c>
      <c r="C117" s="31">
        <v>0.19</v>
      </c>
      <c r="D117" s="19">
        <v>0.0071863602751329695</v>
      </c>
    </row>
    <row r="118" ht="15.75" customHeight="1">
      <c r="A118" s="30">
        <v>0.74</v>
      </c>
      <c r="B118" s="30">
        <v>0.27</v>
      </c>
      <c r="C118" s="30">
        <v>0.66</v>
      </c>
      <c r="D118" s="19">
        <v>-0.00422901506698613</v>
      </c>
    </row>
    <row r="119" ht="15.75" customHeight="1">
      <c r="A119" s="31">
        <v>-0.02</v>
      </c>
      <c r="B119" s="31">
        <v>0.11</v>
      </c>
      <c r="C119" s="31">
        <v>0.21</v>
      </c>
      <c r="D119" s="19">
        <v>0.015187340349014608</v>
      </c>
    </row>
    <row r="120" ht="15.75" customHeight="1">
      <c r="A120" s="30">
        <v>-0.65</v>
      </c>
      <c r="B120" s="30">
        <v>-0.41</v>
      </c>
      <c r="C120" s="30">
        <v>0.44</v>
      </c>
      <c r="D120" s="19">
        <v>0.09669911475604395</v>
      </c>
    </row>
    <row r="121" ht="15.75" customHeight="1">
      <c r="A121" s="31">
        <v>0.27</v>
      </c>
      <c r="B121" s="31">
        <v>0.13</v>
      </c>
      <c r="C121" s="31">
        <v>0.48</v>
      </c>
      <c r="D121" s="19">
        <v>0.02327766474751168</v>
      </c>
    </row>
    <row r="122" ht="15.75" customHeight="1">
      <c r="A122" s="30">
        <v>-0.67</v>
      </c>
      <c r="B122" s="30">
        <v>0.56</v>
      </c>
      <c r="C122" s="30">
        <v>0.15</v>
      </c>
      <c r="D122" s="19">
        <v>-0.01364404099303335</v>
      </c>
    </row>
    <row r="123" ht="15.75" customHeight="1">
      <c r="A123" s="31">
        <v>0.41</v>
      </c>
      <c r="B123" s="31">
        <v>-0.57</v>
      </c>
      <c r="C123" s="31">
        <v>-0.16</v>
      </c>
      <c r="D123" s="19">
        <v>0.018853885607599163</v>
      </c>
    </row>
    <row r="124" ht="15.75" customHeight="1">
      <c r="A124" s="30">
        <v>0.2</v>
      </c>
      <c r="B124" s="30">
        <v>0.36</v>
      </c>
      <c r="C124" s="30">
        <v>0.21</v>
      </c>
      <c r="D124" s="19">
        <v>0.00559053013263013</v>
      </c>
    </row>
    <row r="125" ht="15.75" customHeight="1">
      <c r="A125" s="31">
        <v>0.08</v>
      </c>
      <c r="B125" s="31">
        <v>0.21</v>
      </c>
      <c r="C125" s="31">
        <v>-0.06</v>
      </c>
      <c r="D125" s="19">
        <v>0.03177420425433119</v>
      </c>
    </row>
    <row r="126" ht="15.75" customHeight="1">
      <c r="A126" s="30">
        <v>-1.06</v>
      </c>
      <c r="B126" s="30">
        <v>-0.5</v>
      </c>
      <c r="C126" s="30">
        <v>-0.4</v>
      </c>
      <c r="D126" s="19">
        <v>-0.013427231224521866</v>
      </c>
    </row>
    <row r="127" ht="15.75" customHeight="1">
      <c r="A127" s="31">
        <v>0.35</v>
      </c>
      <c r="B127" s="31">
        <v>-0.09</v>
      </c>
      <c r="C127" s="31">
        <v>-0.6</v>
      </c>
      <c r="D127" s="19">
        <v>0.029463477828217458</v>
      </c>
    </row>
    <row r="128" ht="15.75" customHeight="1">
      <c r="A128" s="30">
        <v>-1.25</v>
      </c>
      <c r="B128" s="30">
        <v>0.08</v>
      </c>
      <c r="C128" s="30">
        <v>0.15</v>
      </c>
      <c r="D128" s="19">
        <v>0.027276628933711654</v>
      </c>
    </row>
    <row r="129" ht="15.75" customHeight="1">
      <c r="A129" s="31">
        <v>-0.96</v>
      </c>
      <c r="B129" s="31">
        <v>-0.12</v>
      </c>
      <c r="C129" s="31">
        <v>0.51</v>
      </c>
      <c r="D129" s="19">
        <v>0.0014713194876030398</v>
      </c>
    </row>
    <row r="130" ht="15.75" customHeight="1">
      <c r="A130" s="30">
        <v>-0.74</v>
      </c>
      <c r="B130" s="30">
        <v>-0.53</v>
      </c>
      <c r="C130" s="30">
        <v>-0.52</v>
      </c>
      <c r="D130" s="19">
        <v>-0.006321754809897628</v>
      </c>
    </row>
    <row r="131" ht="15.75" customHeight="1">
      <c r="A131" s="31">
        <v>-0.35</v>
      </c>
      <c r="B131" s="31">
        <v>0.01</v>
      </c>
      <c r="C131" s="31">
        <v>0.36</v>
      </c>
      <c r="D131" s="19">
        <v>-0.01888560767433402</v>
      </c>
    </row>
    <row r="132" ht="15.75" customHeight="1">
      <c r="A132" s="30">
        <v>-0.14</v>
      </c>
      <c r="B132" s="30">
        <v>0.1</v>
      </c>
      <c r="C132" s="30">
        <v>0.65</v>
      </c>
      <c r="D132" s="19">
        <v>0.006684937863723591</v>
      </c>
    </row>
    <row r="133" ht="15.75" customHeight="1">
      <c r="A133" s="31">
        <v>-0.66</v>
      </c>
      <c r="B133" s="31">
        <v>0.07</v>
      </c>
      <c r="C133" s="31">
        <v>1.36</v>
      </c>
      <c r="D133" s="19">
        <v>0.0023945939529159193</v>
      </c>
    </row>
    <row r="134" ht="15.75" customHeight="1">
      <c r="A134" s="30">
        <v>0.9</v>
      </c>
      <c r="B134" s="30">
        <v>-0.08</v>
      </c>
      <c r="C134" s="30">
        <v>0.07</v>
      </c>
      <c r="D134" s="19">
        <v>-0.024743313596151693</v>
      </c>
    </row>
    <row r="135" ht="15.75" customHeight="1">
      <c r="A135" s="31">
        <v>1.2</v>
      </c>
      <c r="B135" s="31">
        <v>-0.04</v>
      </c>
      <c r="C135" s="31">
        <v>-0.24</v>
      </c>
      <c r="D135" s="19">
        <v>-0.01953895582921149</v>
      </c>
    </row>
    <row r="136" ht="15.75" customHeight="1">
      <c r="A136" s="30">
        <v>-0.01</v>
      </c>
      <c r="B136" s="30">
        <v>-0.06</v>
      </c>
      <c r="C136" s="30">
        <v>-0.14</v>
      </c>
      <c r="D136" s="19">
        <v>-0.0207002583433203</v>
      </c>
    </row>
    <row r="137" ht="15.75" customHeight="1">
      <c r="A137" s="31">
        <v>-0.53</v>
      </c>
      <c r="B137" s="31">
        <v>-0.28</v>
      </c>
      <c r="C137" s="31">
        <v>0.03</v>
      </c>
      <c r="D137" s="19">
        <v>0.020434899420044953</v>
      </c>
    </row>
    <row r="138" ht="15.75" customHeight="1">
      <c r="A138" s="30">
        <v>0.73</v>
      </c>
      <c r="B138" s="30">
        <v>-0.22</v>
      </c>
      <c r="C138" s="30">
        <v>-0.51</v>
      </c>
      <c r="D138" s="19">
        <v>0.014318740202979106</v>
      </c>
    </row>
    <row r="139" ht="15.75" customHeight="1">
      <c r="A139" s="31">
        <v>0.44</v>
      </c>
      <c r="B139" s="31">
        <v>0.69</v>
      </c>
      <c r="C139" s="31">
        <v>-0.23</v>
      </c>
      <c r="D139" s="19">
        <v>-0.014914267740584786</v>
      </c>
    </row>
    <row r="140" ht="15.75" customHeight="1">
      <c r="A140" s="30">
        <v>-1.31</v>
      </c>
      <c r="B140" s="30">
        <v>0.24</v>
      </c>
      <c r="C140" s="30">
        <v>0.03</v>
      </c>
      <c r="D140" s="19">
        <v>-0.02424793083990961</v>
      </c>
    </row>
    <row r="141" ht="15.75" customHeight="1">
      <c r="A141" s="31">
        <v>0.72</v>
      </c>
      <c r="B141" s="31">
        <v>0.09</v>
      </c>
      <c r="C141" s="31">
        <v>0.13</v>
      </c>
      <c r="D141" s="19">
        <v>0.0057476614393201396</v>
      </c>
    </row>
    <row r="142" ht="15.75" customHeight="1">
      <c r="A142" s="30">
        <v>1.02</v>
      </c>
      <c r="B142" s="30">
        <v>-0.07</v>
      </c>
      <c r="C142" s="30">
        <v>-0.74</v>
      </c>
      <c r="D142" s="19">
        <v>-0.005612971389863377</v>
      </c>
    </row>
    <row r="143" ht="15.75" customHeight="1">
      <c r="A143" s="31">
        <v>0.82</v>
      </c>
      <c r="B143" s="31">
        <v>-0.38</v>
      </c>
      <c r="C143" s="31">
        <v>-0.01</v>
      </c>
      <c r="D143" s="19">
        <v>0.03073959901253316</v>
      </c>
    </row>
    <row r="144" ht="15.75" customHeight="1">
      <c r="A144" s="30">
        <v>0.24</v>
      </c>
      <c r="B144" s="30">
        <v>0.05</v>
      </c>
      <c r="C144" s="30">
        <v>-0.31</v>
      </c>
      <c r="D144" s="19">
        <v>-0.006484724512492674</v>
      </c>
    </row>
    <row r="145" ht="15.75" customHeight="1">
      <c r="A145" s="31">
        <v>-0.17</v>
      </c>
      <c r="B145" s="31">
        <v>-0.2</v>
      </c>
      <c r="C145" s="31">
        <v>0.17</v>
      </c>
      <c r="D145" s="19">
        <v>-0.0026569313397130936</v>
      </c>
    </row>
    <row r="146" ht="15.75" customHeight="1">
      <c r="A146" s="30">
        <v>0.21</v>
      </c>
      <c r="B146" s="30">
        <v>-0.31</v>
      </c>
      <c r="C146" s="30">
        <v>-0.05</v>
      </c>
      <c r="D146" s="19">
        <v>0.029484913781139318</v>
      </c>
    </row>
    <row r="147" ht="15.75" customHeight="1">
      <c r="A147" s="31">
        <v>0.01</v>
      </c>
      <c r="B147" s="31">
        <v>0.07</v>
      </c>
      <c r="C147" s="31">
        <v>0.01</v>
      </c>
      <c r="D147" s="19">
        <v>0.003602011684719806</v>
      </c>
    </row>
    <row r="148" ht="15.75" customHeight="1">
      <c r="A148" s="30">
        <v>0.47</v>
      </c>
      <c r="B148" s="30">
        <v>0.18</v>
      </c>
      <c r="C148" s="30">
        <v>-0.22</v>
      </c>
      <c r="D148" s="19">
        <v>-0.001391001445338434</v>
      </c>
    </row>
    <row r="149" ht="15.75" customHeight="1">
      <c r="A149" s="31">
        <v>1.06</v>
      </c>
      <c r="B149" s="31">
        <v>-0.27</v>
      </c>
      <c r="C149" s="31">
        <v>-0.42</v>
      </c>
      <c r="D149" s="19">
        <v>0.025745126238412717</v>
      </c>
    </row>
    <row r="150" ht="15.75" customHeight="1">
      <c r="A150" s="30">
        <v>-0.2</v>
      </c>
      <c r="B150" s="30">
        <v>-0.04</v>
      </c>
      <c r="C150" s="30">
        <v>-0.1</v>
      </c>
      <c r="D150" s="19">
        <v>-0.010473811698894407</v>
      </c>
    </row>
    <row r="151" ht="15.75" customHeight="1">
      <c r="A151" s="31">
        <v>0.09</v>
      </c>
      <c r="B151" s="31">
        <v>-0.16</v>
      </c>
      <c r="C151" s="31">
        <v>0.53</v>
      </c>
      <c r="D151" s="19">
        <v>0.010342757409945643</v>
      </c>
    </row>
    <row r="152" ht="15.75" customHeight="1">
      <c r="A152" s="30">
        <v>0.14</v>
      </c>
      <c r="B152" s="30">
        <v>0.23</v>
      </c>
      <c r="C152" s="30">
        <v>-0.5</v>
      </c>
      <c r="D152" s="19">
        <v>0.0077583563378855755</v>
      </c>
    </row>
    <row r="153" ht="15.75" customHeight="1">
      <c r="A153" s="31">
        <v>0.01</v>
      </c>
      <c r="B153" s="31">
        <v>-0.3</v>
      </c>
      <c r="C153" s="31">
        <v>0.02</v>
      </c>
      <c r="D153" s="19">
        <v>-0.003615718480612619</v>
      </c>
    </row>
    <row r="154" ht="15.75" customHeight="1">
      <c r="A154" s="30">
        <v>-0.49</v>
      </c>
      <c r="B154" s="30">
        <v>-0.18</v>
      </c>
      <c r="C154" s="30">
        <v>-0.38</v>
      </c>
      <c r="D154" s="19">
        <v>-0.03289529847183713</v>
      </c>
    </row>
    <row r="155" ht="15.75" customHeight="1">
      <c r="A155" s="31">
        <v>-0.58</v>
      </c>
      <c r="B155" s="31">
        <v>0.03</v>
      </c>
      <c r="C155" s="31">
        <v>-0.63</v>
      </c>
      <c r="D155" s="19">
        <v>9.94880595553876E-4</v>
      </c>
    </row>
    <row r="156" ht="15.75" customHeight="1">
      <c r="A156" s="30">
        <v>0.47</v>
      </c>
      <c r="B156" s="30">
        <v>-0.12</v>
      </c>
      <c r="C156" s="30">
        <v>0.36</v>
      </c>
      <c r="D156" s="19">
        <v>-0.011449357828571583</v>
      </c>
    </row>
    <row r="157" ht="15.75" customHeight="1">
      <c r="A157" s="31">
        <v>0.2</v>
      </c>
      <c r="B157" s="31">
        <v>0.22</v>
      </c>
      <c r="C157" s="31">
        <v>0.06</v>
      </c>
      <c r="D157" s="19">
        <v>-0.028664728818764182</v>
      </c>
    </row>
    <row r="158" ht="15.75" customHeight="1">
      <c r="A158" s="30">
        <v>-0.19</v>
      </c>
      <c r="B158" s="30">
        <v>0.01</v>
      </c>
      <c r="C158" s="30">
        <v>-0.09</v>
      </c>
      <c r="D158" s="19">
        <v>-0.020563304912508715</v>
      </c>
    </row>
    <row r="159" ht="15.75" customHeight="1">
      <c r="A159" s="31">
        <v>-1.06</v>
      </c>
      <c r="B159" s="31">
        <v>-0.28</v>
      </c>
      <c r="C159" s="31">
        <v>-0.27</v>
      </c>
      <c r="D159" s="19">
        <v>-0.0191174481668379</v>
      </c>
    </row>
    <row r="160" ht="15.75" customHeight="1">
      <c r="A160" s="30">
        <v>-0.1</v>
      </c>
      <c r="B160" s="30">
        <v>1.0</v>
      </c>
      <c r="C160" s="30">
        <v>0.64</v>
      </c>
      <c r="D160" s="19">
        <v>-0.018192295555798488</v>
      </c>
    </row>
    <row r="161" ht="15.75" customHeight="1">
      <c r="A161" s="31">
        <v>0.74</v>
      </c>
      <c r="B161" s="31">
        <v>-0.03</v>
      </c>
      <c r="C161" s="31">
        <v>0.58</v>
      </c>
      <c r="D161" s="19">
        <v>-0.021162158791809944</v>
      </c>
    </row>
    <row r="162" ht="15.75" customHeight="1">
      <c r="A162" s="30">
        <v>0.28</v>
      </c>
      <c r="B162" s="30">
        <v>0.13</v>
      </c>
      <c r="C162" s="30">
        <v>-0.4</v>
      </c>
      <c r="D162" s="19">
        <v>0.021607682172736644</v>
      </c>
    </row>
    <row r="163" ht="15.75" customHeight="1">
      <c r="A163" s="31">
        <v>-0.2</v>
      </c>
      <c r="B163" s="31">
        <v>-0.41</v>
      </c>
      <c r="C163" s="31">
        <v>-0.98</v>
      </c>
      <c r="D163" s="19">
        <v>-0.014475089100598035</v>
      </c>
    </row>
    <row r="164" ht="15.75" customHeight="1">
      <c r="A164" s="30">
        <v>0.78</v>
      </c>
      <c r="B164" s="30">
        <v>-0.41</v>
      </c>
      <c r="C164" s="30">
        <v>-0.94</v>
      </c>
      <c r="D164" s="19">
        <v>0.009994522016138279</v>
      </c>
    </row>
    <row r="165" ht="15.75" customHeight="1">
      <c r="A165" s="31">
        <v>0.16</v>
      </c>
      <c r="B165" s="31">
        <v>-0.23</v>
      </c>
      <c r="C165" s="31">
        <v>-0.04</v>
      </c>
      <c r="D165" s="19">
        <v>0.011089701566989255</v>
      </c>
    </row>
    <row r="166" ht="15.75" customHeight="1">
      <c r="A166" s="30">
        <v>-0.5</v>
      </c>
      <c r="B166" s="30">
        <v>-0.5</v>
      </c>
      <c r="C166" s="30">
        <v>-0.23</v>
      </c>
      <c r="D166" s="19">
        <v>-0.016357762152197204</v>
      </c>
    </row>
    <row r="167" ht="15.75" customHeight="1">
      <c r="A167" s="31">
        <v>0.1</v>
      </c>
      <c r="B167" s="31">
        <v>0.11</v>
      </c>
      <c r="C167" s="31">
        <v>-0.08</v>
      </c>
      <c r="D167" s="19">
        <v>-0.02177363106207075</v>
      </c>
    </row>
    <row r="168" ht="15.75" customHeight="1">
      <c r="A168" s="30">
        <v>-0.19</v>
      </c>
      <c r="B168" s="30">
        <v>-0.2</v>
      </c>
      <c r="C168" s="30">
        <v>-0.99</v>
      </c>
      <c r="D168" s="19">
        <v>-0.0040486159324175704</v>
      </c>
    </row>
    <row r="169" ht="15.75" customHeight="1">
      <c r="A169" s="31">
        <v>-0.49</v>
      </c>
      <c r="B169" s="31">
        <v>-0.67</v>
      </c>
      <c r="C169" s="31">
        <v>-0.79</v>
      </c>
      <c r="D169" s="19">
        <v>-0.002912657673334154</v>
      </c>
    </row>
    <row r="170" ht="15.75" customHeight="1">
      <c r="A170" s="30">
        <v>-0.45</v>
      </c>
      <c r="B170" s="30">
        <v>-0.38</v>
      </c>
      <c r="C170" s="30">
        <v>-0.4</v>
      </c>
      <c r="D170" s="19">
        <v>0.023393854288736266</v>
      </c>
    </row>
    <row r="171" ht="15.75" customHeight="1">
      <c r="A171" s="31">
        <v>-0.13</v>
      </c>
      <c r="B171" s="31">
        <v>-0.2</v>
      </c>
      <c r="C171" s="31">
        <v>-0.33</v>
      </c>
      <c r="D171" s="19">
        <v>-0.032547248854660545</v>
      </c>
    </row>
    <row r="172" ht="15.75" customHeight="1">
      <c r="A172" s="30">
        <v>-1.8</v>
      </c>
      <c r="B172" s="30">
        <v>0.41</v>
      </c>
      <c r="C172" s="30">
        <v>1.23</v>
      </c>
      <c r="D172" s="19">
        <v>0.08341773571098648</v>
      </c>
    </row>
    <row r="173" ht="15.75" customHeight="1">
      <c r="A173" s="31">
        <v>-0.65</v>
      </c>
      <c r="B173" s="31">
        <v>0.35</v>
      </c>
      <c r="C173" s="31">
        <v>0.76</v>
      </c>
      <c r="D173" s="19">
        <v>-0.014354404174530709</v>
      </c>
    </row>
    <row r="174" ht="15.75" customHeight="1">
      <c r="A174" s="30">
        <v>0.97</v>
      </c>
      <c r="B174" s="30">
        <v>-0.02</v>
      </c>
      <c r="C174" s="30">
        <v>-0.03</v>
      </c>
      <c r="D174" s="19">
        <v>-0.014792885584960128</v>
      </c>
    </row>
    <row r="175" ht="15.75" customHeight="1">
      <c r="A175" s="31">
        <v>0.01</v>
      </c>
      <c r="B175" s="31">
        <v>-0.12</v>
      </c>
      <c r="C175" s="31">
        <v>-0.12</v>
      </c>
      <c r="D175" s="19">
        <v>-0.02444579793061571</v>
      </c>
    </row>
    <row r="176" ht="15.75" customHeight="1">
      <c r="A176" s="30">
        <v>-0.23</v>
      </c>
      <c r="B176" s="30">
        <v>0.32</v>
      </c>
      <c r="C176" s="30">
        <v>0.75</v>
      </c>
      <c r="D176" s="19">
        <v>0.03232230554490686</v>
      </c>
    </row>
    <row r="177" ht="15.75" customHeight="1">
      <c r="A177" s="31">
        <v>1.5</v>
      </c>
      <c r="B177" s="31">
        <v>0.01</v>
      </c>
      <c r="C177" s="31">
        <v>-0.98</v>
      </c>
      <c r="D177" s="19">
        <v>0.015050241171608567</v>
      </c>
    </row>
    <row r="178" ht="15.75" customHeight="1">
      <c r="A178" s="30">
        <v>-1.73</v>
      </c>
      <c r="B178" s="30">
        <v>-0.42</v>
      </c>
      <c r="C178" s="30">
        <v>-0.33</v>
      </c>
      <c r="D178" s="19">
        <v>-0.006078535651928659</v>
      </c>
    </row>
    <row r="179" ht="15.75" customHeight="1">
      <c r="A179" s="31">
        <v>-2.08</v>
      </c>
      <c r="B179" s="31">
        <v>-0.48</v>
      </c>
      <c r="C179" s="31">
        <v>-0.35</v>
      </c>
      <c r="D179" s="19">
        <v>-0.021709845741619646</v>
      </c>
    </row>
    <row r="180" ht="15.75" customHeight="1">
      <c r="A180" s="30">
        <v>-3.24</v>
      </c>
      <c r="B180" s="30">
        <v>-0.93</v>
      </c>
      <c r="C180" s="30">
        <v>-0.04</v>
      </c>
      <c r="D180" s="19">
        <v>-0.02432469720859451</v>
      </c>
    </row>
    <row r="181" ht="15.75" customHeight="1">
      <c r="A181" s="31">
        <v>1.27</v>
      </c>
      <c r="B181" s="31">
        <v>0.86</v>
      </c>
      <c r="C181" s="31">
        <v>-0.56</v>
      </c>
      <c r="D181" s="19">
        <v>0.0074260744582904555</v>
      </c>
    </row>
    <row r="182" ht="15.75" customHeight="1">
      <c r="A182" s="30">
        <v>-0.25</v>
      </c>
      <c r="B182" s="30">
        <v>-0.14</v>
      </c>
      <c r="C182" s="30">
        <v>0.52</v>
      </c>
      <c r="D182" s="19">
        <v>8.893076587903321E-4</v>
      </c>
    </row>
    <row r="183" ht="15.75" customHeight="1">
      <c r="A183" s="31">
        <v>1.56</v>
      </c>
      <c r="B183" s="31">
        <v>-0.68</v>
      </c>
      <c r="C183" s="31">
        <v>-0.75</v>
      </c>
      <c r="D183" s="19">
        <v>0.002270639397297011</v>
      </c>
    </row>
    <row r="184" ht="15.75" customHeight="1">
      <c r="A184" s="30">
        <v>0.5</v>
      </c>
      <c r="B184" s="30">
        <v>-0.12</v>
      </c>
      <c r="C184" s="30">
        <v>-0.26</v>
      </c>
      <c r="D184" s="19">
        <v>-0.004407646922590792</v>
      </c>
    </row>
    <row r="185" ht="15.75" customHeight="1">
      <c r="A185" s="31">
        <v>-0.06</v>
      </c>
      <c r="B185" s="31">
        <v>-0.21</v>
      </c>
      <c r="C185" s="31">
        <v>-0.19</v>
      </c>
      <c r="D185" s="19">
        <v>0.03353347717586253</v>
      </c>
    </row>
    <row r="186" ht="15.75" customHeight="1">
      <c r="A186" s="30">
        <v>1.61</v>
      </c>
      <c r="B186" s="30">
        <v>-0.03</v>
      </c>
      <c r="C186" s="30">
        <v>-0.56</v>
      </c>
      <c r="D186" s="19">
        <v>0.007037579303770417</v>
      </c>
    </row>
    <row r="187" ht="15.75" customHeight="1">
      <c r="A187" s="31">
        <v>0.41</v>
      </c>
      <c r="B187" s="31">
        <v>-0.37</v>
      </c>
      <c r="C187" s="31">
        <v>0.16</v>
      </c>
      <c r="D187" s="19">
        <v>-0.02030191521367669</v>
      </c>
    </row>
    <row r="188" ht="15.75" customHeight="1">
      <c r="A188" s="30">
        <v>1.31</v>
      </c>
      <c r="B188" s="30">
        <v>-0.36</v>
      </c>
      <c r="C188" s="30">
        <v>-0.35</v>
      </c>
      <c r="D188" s="19">
        <v>0.0013523651516004435</v>
      </c>
    </row>
    <row r="189" ht="15.75" customHeight="1">
      <c r="A189" s="31">
        <v>0.67</v>
      </c>
      <c r="B189" s="31">
        <v>0.45</v>
      </c>
      <c r="C189" s="31">
        <v>0.31</v>
      </c>
      <c r="D189" s="19">
        <v>0.0050154907736307194</v>
      </c>
    </row>
    <row r="190" ht="15.75" customHeight="1">
      <c r="A190" s="30">
        <v>0.87</v>
      </c>
      <c r="B190" s="30">
        <v>-0.05</v>
      </c>
      <c r="C190" s="30">
        <v>-0.18</v>
      </c>
      <c r="D190" s="19">
        <v>9.680803127866277E-4</v>
      </c>
    </row>
    <row r="191" ht="15.75" customHeight="1">
      <c r="A191" s="31">
        <v>-0.05</v>
      </c>
      <c r="B191" s="31">
        <v>0.3</v>
      </c>
      <c r="C191" s="31">
        <v>-0.69</v>
      </c>
      <c r="D191" s="19">
        <v>0.021045865652246892</v>
      </c>
    </row>
    <row r="192" ht="15.75" customHeight="1">
      <c r="A192" s="30">
        <v>0.46</v>
      </c>
      <c r="B192" s="30">
        <v>0.23</v>
      </c>
      <c r="C192" s="30">
        <v>-0.22</v>
      </c>
      <c r="D192" s="19">
        <v>0.0018507712178493982</v>
      </c>
    </row>
    <row r="193" ht="15.75" customHeight="1">
      <c r="A193" s="31">
        <v>-0.69</v>
      </c>
      <c r="B193" s="31">
        <v>0.0</v>
      </c>
      <c r="C193" s="31">
        <v>0.44</v>
      </c>
      <c r="D193" s="19">
        <v>-0.027302764604870012</v>
      </c>
    </row>
    <row r="194" ht="15.75" customHeight="1">
      <c r="A194" s="30">
        <v>1.34</v>
      </c>
      <c r="B194" s="30">
        <v>0.69</v>
      </c>
      <c r="C194" s="30">
        <v>0.43</v>
      </c>
      <c r="D194" s="19">
        <v>0.009794067536569624</v>
      </c>
    </row>
    <row r="195" ht="15.75" customHeight="1">
      <c r="A195" s="31">
        <v>-0.33</v>
      </c>
      <c r="B195" s="31">
        <v>0.16</v>
      </c>
      <c r="C195" s="31">
        <v>0.25</v>
      </c>
      <c r="D195" s="19">
        <v>0.016953618303748842</v>
      </c>
    </row>
    <row r="196" ht="15.75" customHeight="1">
      <c r="A196" s="30">
        <v>0.2</v>
      </c>
      <c r="B196" s="30">
        <v>-0.07</v>
      </c>
      <c r="C196" s="30">
        <v>-0.15</v>
      </c>
      <c r="D196" s="19">
        <v>-0.0011724503172149878</v>
      </c>
    </row>
    <row r="197" ht="15.75" customHeight="1">
      <c r="A197" s="31">
        <v>-0.57</v>
      </c>
      <c r="B197" s="31">
        <v>-0.32</v>
      </c>
      <c r="C197" s="31">
        <v>0.47</v>
      </c>
      <c r="D197" s="19">
        <v>-0.025538123854729724</v>
      </c>
    </row>
    <row r="198" ht="15.75" customHeight="1">
      <c r="A198" s="30">
        <v>0.13</v>
      </c>
      <c r="B198" s="30">
        <v>-0.02</v>
      </c>
      <c r="C198" s="30">
        <v>0.16</v>
      </c>
      <c r="D198" s="19">
        <v>-0.006230460032691008</v>
      </c>
    </row>
    <row r="199" ht="15.75" customHeight="1">
      <c r="A199" s="31">
        <v>0.63</v>
      </c>
      <c r="B199" s="31">
        <v>-0.38</v>
      </c>
      <c r="C199" s="31">
        <v>-0.05</v>
      </c>
      <c r="D199" s="19">
        <v>-0.03897980272432059</v>
      </c>
    </row>
    <row r="200" ht="15.75" customHeight="1">
      <c r="A200" s="30">
        <v>-0.04</v>
      </c>
      <c r="B200" s="30">
        <v>-0.24</v>
      </c>
      <c r="C200" s="30">
        <v>0.2</v>
      </c>
      <c r="D200" s="19">
        <v>-0.03842371959233219</v>
      </c>
    </row>
    <row r="201" ht="15.75" customHeight="1">
      <c r="A201" s="31">
        <v>-1.7</v>
      </c>
      <c r="B201" s="31">
        <v>0.2</v>
      </c>
      <c r="C201" s="31">
        <v>0.56</v>
      </c>
      <c r="D201" s="19">
        <v>-0.0010283456662635968</v>
      </c>
    </row>
    <row r="202" ht="15.75" customHeight="1">
      <c r="A202" s="30">
        <v>-0.46</v>
      </c>
      <c r="B202" s="30">
        <v>0.01</v>
      </c>
      <c r="C202" s="30">
        <v>0.08</v>
      </c>
      <c r="D202" s="19">
        <v>0.032658990738329105</v>
      </c>
    </row>
    <row r="203" ht="15.75" customHeight="1">
      <c r="A203" s="31">
        <v>-0.28</v>
      </c>
      <c r="B203" s="31">
        <v>0.21</v>
      </c>
      <c r="C203" s="31">
        <v>-0.03</v>
      </c>
      <c r="D203" s="19">
        <v>0.005852118074768229</v>
      </c>
    </row>
    <row r="204" ht="15.75" customHeight="1">
      <c r="A204" s="30">
        <v>-1.52</v>
      </c>
      <c r="B204" s="30">
        <v>0.28</v>
      </c>
      <c r="C204" s="30">
        <v>0.22</v>
      </c>
      <c r="D204" s="19">
        <v>0.008786810494583156</v>
      </c>
    </row>
    <row r="205" ht="15.75" customHeight="1">
      <c r="A205" s="31">
        <v>0.7</v>
      </c>
      <c r="B205" s="31">
        <v>-0.78</v>
      </c>
      <c r="C205" s="31">
        <v>-0.37</v>
      </c>
      <c r="D205" s="19">
        <v>0.03754920474555096</v>
      </c>
    </row>
    <row r="206" ht="15.75" customHeight="1">
      <c r="A206" s="30">
        <v>0.13</v>
      </c>
      <c r="B206" s="30">
        <v>0.23</v>
      </c>
      <c r="C206" s="30">
        <v>-0.97</v>
      </c>
      <c r="D206" s="19">
        <v>-0.005989429865164329</v>
      </c>
    </row>
    <row r="207" ht="15.75" customHeight="1">
      <c r="A207" s="31">
        <v>0.56</v>
      </c>
      <c r="B207" s="31">
        <v>-0.82</v>
      </c>
      <c r="C207" s="31">
        <v>-0.95</v>
      </c>
      <c r="D207" s="19">
        <v>-0.0034881761609054005</v>
      </c>
    </row>
    <row r="208" ht="15.75" customHeight="1">
      <c r="A208" s="30">
        <v>1.06</v>
      </c>
      <c r="B208" s="30">
        <v>0.53</v>
      </c>
      <c r="C208" s="30">
        <v>-0.43</v>
      </c>
      <c r="D208" s="19">
        <v>0.016578498773323125</v>
      </c>
    </row>
    <row r="209" ht="15.75" customHeight="1">
      <c r="A209" s="31">
        <v>0.62</v>
      </c>
      <c r="B209" s="31">
        <v>0.69</v>
      </c>
      <c r="C209" s="31">
        <v>0.25</v>
      </c>
      <c r="D209" s="19">
        <v>0.014699728825212074</v>
      </c>
    </row>
    <row r="210" ht="15.75" customHeight="1">
      <c r="A210" s="30">
        <v>0.26</v>
      </c>
      <c r="B210" s="30">
        <v>-0.13</v>
      </c>
      <c r="C210" s="30">
        <v>0.68</v>
      </c>
      <c r="D210" s="19">
        <v>0.03562417872169974</v>
      </c>
    </row>
    <row r="211" ht="15.75" customHeight="1">
      <c r="A211" s="31">
        <v>-0.05</v>
      </c>
      <c r="B211" s="31">
        <v>0.09</v>
      </c>
      <c r="C211" s="31">
        <v>0.32</v>
      </c>
      <c r="D211" s="19">
        <v>-0.006829054819608198</v>
      </c>
    </row>
    <row r="212" ht="15.75" customHeight="1">
      <c r="A212" s="30">
        <v>-0.21</v>
      </c>
      <c r="B212" s="30">
        <v>0.23</v>
      </c>
      <c r="C212" s="30">
        <v>0.38</v>
      </c>
      <c r="D212" s="19">
        <v>-0.010521297057638707</v>
      </c>
    </row>
    <row r="213" ht="15.75" customHeight="1">
      <c r="A213" s="31">
        <v>1.71</v>
      </c>
      <c r="B213" s="31">
        <v>-0.05</v>
      </c>
      <c r="C213" s="31">
        <v>-0.48</v>
      </c>
      <c r="D213" s="19">
        <v>0.015283065524485951</v>
      </c>
    </row>
    <row r="214" ht="15.75" customHeight="1">
      <c r="A214" s="30">
        <v>-0.42</v>
      </c>
      <c r="B214" s="30">
        <v>-0.38</v>
      </c>
      <c r="C214" s="30">
        <v>-0.04</v>
      </c>
      <c r="D214" s="19">
        <v>0.018314722814477016</v>
      </c>
    </row>
    <row r="215" ht="15.75" customHeight="1">
      <c r="A215" s="31">
        <v>0.16</v>
      </c>
      <c r="B215" s="31">
        <v>-0.38</v>
      </c>
      <c r="C215" s="31">
        <v>0.07</v>
      </c>
      <c r="D215" s="19">
        <v>0.010176915888788291</v>
      </c>
    </row>
    <row r="216" ht="15.75" customHeight="1">
      <c r="A216" s="30">
        <v>0.53</v>
      </c>
      <c r="B216" s="30">
        <v>0.12</v>
      </c>
      <c r="C216" s="30">
        <v>-0.1</v>
      </c>
      <c r="D216" s="19">
        <v>0.0070936501870868095</v>
      </c>
    </row>
    <row r="217" ht="15.75" customHeight="1">
      <c r="A217" s="31">
        <v>-0.44</v>
      </c>
      <c r="B217" s="31">
        <v>-0.42</v>
      </c>
      <c r="C217" s="31">
        <v>-0.46</v>
      </c>
      <c r="D217" s="19">
        <v>-0.022872781544875393</v>
      </c>
    </row>
    <row r="218" ht="15.75" customHeight="1">
      <c r="A218" s="30">
        <v>0.95</v>
      </c>
      <c r="B218" s="30">
        <v>0.62</v>
      </c>
      <c r="C218" s="30">
        <v>-0.11</v>
      </c>
      <c r="D218" s="19">
        <v>0.005253393360843096</v>
      </c>
    </row>
    <row r="219" ht="15.75" customHeight="1">
      <c r="A219" s="31">
        <v>0.31</v>
      </c>
      <c r="B219" s="31">
        <v>0.57</v>
      </c>
      <c r="C219" s="31">
        <v>0.49</v>
      </c>
      <c r="D219" s="19">
        <v>-0.008448681298512346</v>
      </c>
    </row>
    <row r="220" ht="15.75" customHeight="1">
      <c r="A220" s="30">
        <v>-0.3</v>
      </c>
      <c r="B220" s="30">
        <v>-0.43</v>
      </c>
      <c r="C220" s="30">
        <v>-0.07</v>
      </c>
      <c r="D220" s="19">
        <v>-0.014616210881347944</v>
      </c>
    </row>
    <row r="221" ht="15.75" customHeight="1">
      <c r="A221" s="31">
        <v>-0.75</v>
      </c>
      <c r="B221" s="31">
        <v>-0.12</v>
      </c>
      <c r="C221" s="31">
        <v>0.59</v>
      </c>
      <c r="D221" s="19">
        <v>0.02347411432368545</v>
      </c>
    </row>
    <row r="222" ht="15.75" customHeight="1">
      <c r="A222" s="30">
        <v>-0.27</v>
      </c>
      <c r="B222" s="30">
        <v>-0.6</v>
      </c>
      <c r="C222" s="30">
        <v>0.26</v>
      </c>
      <c r="D222" s="19">
        <v>-0.009228649101321526</v>
      </c>
    </row>
    <row r="223" ht="15.75" customHeight="1">
      <c r="A223" s="31">
        <v>-0.35</v>
      </c>
      <c r="B223" s="31">
        <v>-0.18</v>
      </c>
      <c r="C223" s="31">
        <v>-0.09</v>
      </c>
      <c r="D223" s="19">
        <v>0.003176421254808463</v>
      </c>
    </row>
    <row r="224" ht="15.75" customHeight="1">
      <c r="A224" s="30">
        <v>0.63</v>
      </c>
      <c r="B224" s="30">
        <v>-0.13</v>
      </c>
      <c r="C224" s="30">
        <v>0.34</v>
      </c>
      <c r="D224" s="19">
        <v>-0.0021768950504155934</v>
      </c>
    </row>
    <row r="225" ht="15.75" customHeight="1">
      <c r="A225" s="31">
        <v>-0.48</v>
      </c>
      <c r="B225" s="31">
        <v>0.33</v>
      </c>
      <c r="C225" s="31">
        <v>0.37</v>
      </c>
      <c r="D225" s="19">
        <v>-0.004697620110819262</v>
      </c>
    </row>
    <row r="226" ht="15.75" customHeight="1">
      <c r="A226" s="30">
        <v>0.27</v>
      </c>
      <c r="B226" s="30">
        <v>-0.69</v>
      </c>
      <c r="C226" s="30">
        <v>-1.17</v>
      </c>
      <c r="D226" s="19">
        <v>-0.003827339084069634</v>
      </c>
    </row>
    <row r="227" ht="15.75" customHeight="1">
      <c r="A227" s="31">
        <v>0.46</v>
      </c>
      <c r="B227" s="31">
        <v>-0.42</v>
      </c>
      <c r="C227" s="31">
        <v>-0.39</v>
      </c>
      <c r="D227" s="19">
        <v>-0.019612400234773678</v>
      </c>
    </row>
    <row r="228" ht="15.75" customHeight="1">
      <c r="A228" s="30">
        <v>-0.1</v>
      </c>
      <c r="B228" s="30">
        <v>-0.13</v>
      </c>
      <c r="C228" s="30">
        <v>0.29</v>
      </c>
      <c r="D228" s="19">
        <v>0.0015717503675253984</v>
      </c>
    </row>
    <row r="229" ht="15.75" customHeight="1">
      <c r="A229" s="31">
        <v>0.57</v>
      </c>
      <c r="B229" s="31">
        <v>0.13</v>
      </c>
      <c r="C229" s="31">
        <v>0.36</v>
      </c>
      <c r="D229" s="19">
        <v>0.01620624266466492</v>
      </c>
    </row>
    <row r="230" ht="15.75" customHeight="1">
      <c r="A230" s="30">
        <v>0.46</v>
      </c>
      <c r="B230" s="30">
        <v>-0.48</v>
      </c>
      <c r="C230" s="30">
        <v>-0.23</v>
      </c>
      <c r="D230" s="19">
        <v>0.006733825971433223</v>
      </c>
    </row>
    <row r="231" ht="15.75" customHeight="1">
      <c r="A231" s="31">
        <v>-0.61</v>
      </c>
      <c r="B231" s="31">
        <v>0.83</v>
      </c>
      <c r="C231" s="31">
        <v>0.25</v>
      </c>
      <c r="D231" s="19">
        <v>0.012750647053798336</v>
      </c>
    </row>
    <row r="232" ht="15.75" customHeight="1">
      <c r="A232" s="30">
        <v>0.14</v>
      </c>
      <c r="B232" s="30">
        <v>-0.1</v>
      </c>
      <c r="C232" s="30">
        <v>0.74</v>
      </c>
      <c r="D232" s="19">
        <v>-3.257545395882379E-4</v>
      </c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16.57"/>
    <col customWidth="1" min="3" max="3" width="21.57"/>
    <col customWidth="1" min="4" max="4" width="16.57"/>
    <col customWidth="1" min="5" max="5" width="13.29"/>
    <col customWidth="1" min="6" max="6" width="16.14"/>
    <col customWidth="1" min="7" max="7" width="15.43"/>
    <col customWidth="1" min="8" max="8" width="16.14"/>
    <col customWidth="1" min="9" max="9" width="15.43"/>
  </cols>
  <sheetData>
    <row r="1" ht="14.25" customHeight="1">
      <c r="A1" s="19" t="s">
        <v>33</v>
      </c>
    </row>
    <row r="2" ht="14.25" customHeight="1"/>
    <row r="3" ht="14.25" customHeight="1">
      <c r="A3" s="25" t="s">
        <v>34</v>
      </c>
      <c r="B3" s="26"/>
    </row>
    <row r="4" ht="14.25" customHeight="1">
      <c r="A4" s="27" t="s">
        <v>35</v>
      </c>
      <c r="B4" s="27">
        <v>0.09426674023636718</v>
      </c>
    </row>
    <row r="5" ht="14.25" customHeight="1">
      <c r="A5" s="27" t="s">
        <v>36</v>
      </c>
      <c r="B5" s="27">
        <v>0.008886218314790726</v>
      </c>
    </row>
    <row r="6" ht="14.25" customHeight="1">
      <c r="A6" s="27" t="s">
        <v>37</v>
      </c>
      <c r="B6" s="27">
        <v>-0.004270159318198777</v>
      </c>
    </row>
    <row r="7" ht="14.25" customHeight="1">
      <c r="A7" s="27" t="s">
        <v>38</v>
      </c>
      <c r="B7" s="27">
        <v>0.017522969267626115</v>
      </c>
    </row>
    <row r="8" ht="14.25" customHeight="1">
      <c r="A8" s="28" t="s">
        <v>39</v>
      </c>
      <c r="B8" s="28">
        <v>230.0</v>
      </c>
    </row>
    <row r="9" ht="14.25" customHeight="1"/>
    <row r="10" ht="14.25" customHeight="1">
      <c r="A10" s="19" t="s">
        <v>40</v>
      </c>
    </row>
    <row r="11" ht="14.25" customHeight="1">
      <c r="A11" s="25"/>
      <c r="B11" s="25" t="s">
        <v>41</v>
      </c>
      <c r="C11" s="25" t="s">
        <v>42</v>
      </c>
      <c r="D11" s="25" t="s">
        <v>43</v>
      </c>
      <c r="E11" s="25" t="s">
        <v>44</v>
      </c>
      <c r="F11" s="25" t="s">
        <v>45</v>
      </c>
    </row>
    <row r="12" ht="14.25" customHeight="1">
      <c r="A12" s="27" t="s">
        <v>46</v>
      </c>
      <c r="B12" s="27">
        <v>3.0</v>
      </c>
      <c r="C12" s="27">
        <v>6.221817974617905E-4</v>
      </c>
      <c r="D12" s="27">
        <v>2.0739393248726348E-4</v>
      </c>
      <c r="E12" s="27">
        <v>0.6754304689847614</v>
      </c>
      <c r="F12" s="27">
        <v>0.5679123380759991</v>
      </c>
    </row>
    <row r="13" ht="14.25" customHeight="1">
      <c r="A13" s="27" t="s">
        <v>47</v>
      </c>
      <c r="B13" s="27">
        <v>226.0</v>
      </c>
      <c r="C13" s="27">
        <v>0.06939430614164227</v>
      </c>
      <c r="D13" s="27">
        <v>3.070544519541693E-4</v>
      </c>
      <c r="E13" s="27"/>
      <c r="F13" s="27"/>
    </row>
    <row r="14" ht="14.25" customHeight="1">
      <c r="A14" s="28" t="s">
        <v>48</v>
      </c>
      <c r="B14" s="28">
        <v>229.0</v>
      </c>
      <c r="C14" s="28">
        <v>0.07001648793910406</v>
      </c>
      <c r="D14" s="28"/>
      <c r="E14" s="28"/>
      <c r="F14" s="28"/>
    </row>
    <row r="15" ht="14.25" customHeight="1"/>
    <row r="16" ht="14.25" customHeight="1">
      <c r="A16" s="25"/>
      <c r="B16" s="25" t="s">
        <v>49</v>
      </c>
      <c r="C16" s="25" t="s">
        <v>38</v>
      </c>
      <c r="D16" s="25" t="s">
        <v>50</v>
      </c>
      <c r="E16" s="25" t="s">
        <v>51</v>
      </c>
      <c r="F16" s="25" t="s">
        <v>52</v>
      </c>
      <c r="G16" s="25" t="s">
        <v>53</v>
      </c>
      <c r="H16" s="25" t="s">
        <v>54</v>
      </c>
      <c r="I16" s="25" t="s">
        <v>55</v>
      </c>
    </row>
    <row r="17" ht="14.25" customHeight="1">
      <c r="A17" s="27" t="s">
        <v>56</v>
      </c>
      <c r="B17" s="27">
        <v>0.0010152137653522061</v>
      </c>
      <c r="C17" s="27">
        <v>0.001179229917833179</v>
      </c>
      <c r="D17" s="27">
        <v>0.860912490430746</v>
      </c>
      <c r="E17" s="27">
        <v>0.39019867065199587</v>
      </c>
      <c r="F17" s="27">
        <v>-0.0013084779415960006</v>
      </c>
      <c r="G17" s="27">
        <v>0.003338905472300413</v>
      </c>
      <c r="H17" s="27">
        <v>-0.0013084779415960006</v>
      </c>
      <c r="I17" s="27">
        <v>0.003338905472300413</v>
      </c>
    </row>
    <row r="18" ht="14.25" customHeight="1">
      <c r="A18" s="27" t="s">
        <v>57</v>
      </c>
      <c r="B18" s="27">
        <v>6.493571745570823E-4</v>
      </c>
      <c r="C18" s="27">
        <v>0.0016690749939058751</v>
      </c>
      <c r="D18" s="27">
        <v>0.38905212583497717</v>
      </c>
      <c r="E18" s="27">
        <v>0.697603898449912</v>
      </c>
      <c r="F18" s="27">
        <v>-0.00263958221119074</v>
      </c>
      <c r="G18" s="27">
        <v>0.003938296560304904</v>
      </c>
      <c r="H18" s="27">
        <v>-0.00263958221119074</v>
      </c>
      <c r="I18" s="27">
        <v>0.003938296560304904</v>
      </c>
    </row>
    <row r="19" ht="14.25" customHeight="1">
      <c r="A19" s="27" t="s">
        <v>61</v>
      </c>
      <c r="B19" s="27">
        <v>0.0013583479671307765</v>
      </c>
      <c r="C19" s="27">
        <v>0.003207071360014351</v>
      </c>
      <c r="D19" s="27">
        <v>0.42354778383375236</v>
      </c>
      <c r="E19" s="27">
        <v>0.6722984509579724</v>
      </c>
      <c r="F19" s="27">
        <v>-0.004961238239221471</v>
      </c>
      <c r="G19" s="27">
        <v>0.007677934173483025</v>
      </c>
      <c r="H19" s="27">
        <v>-0.004961238239221471</v>
      </c>
      <c r="I19" s="27">
        <v>0.007677934173483025</v>
      </c>
    </row>
    <row r="20" ht="14.25" customHeight="1">
      <c r="A20" s="28" t="s">
        <v>62</v>
      </c>
      <c r="B20" s="28">
        <v>0.0030511034486521366</v>
      </c>
      <c r="C20" s="28">
        <v>0.0029403662457052012</v>
      </c>
      <c r="D20" s="28">
        <v>1.0376610237274633</v>
      </c>
      <c r="E20" s="28">
        <v>0.30053683108594303</v>
      </c>
      <c r="F20" s="28">
        <v>-0.002742935997947264</v>
      </c>
      <c r="G20" s="28">
        <v>0.008845142895251536</v>
      </c>
      <c r="H20" s="28">
        <v>-0.002742935997947264</v>
      </c>
      <c r="I20" s="28">
        <v>0.008845142895251536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